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kam\Documents\chatbot用\github用\"/>
    </mc:Choice>
  </mc:AlternateContent>
  <xr:revisionPtr revIDLastSave="0" documentId="8_{274E5E2E-C306-48A1-95F2-BF315DE606CF}" xr6:coauthVersionLast="47" xr6:coauthVersionMax="47" xr10:uidLastSave="{00000000-0000-0000-0000-000000000000}"/>
  <bookViews>
    <workbookView xWindow="31350" yWindow="2205" windowWidth="25980" windowHeight="15075" activeTab="1" xr2:uid="{1441E127-1FEF-4330-9962-443DC9D04649}"/>
  </bookViews>
  <sheets>
    <sheet name="Shift_20241022_073444" sheetId="164" r:id="rId1"/>
    <sheet name="input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1" i="164" l="1"/>
  <c r="AG30" i="164"/>
  <c r="AG29" i="164"/>
  <c r="AG28" i="164"/>
  <c r="AG27" i="164"/>
  <c r="AF31" i="164"/>
  <c r="AF30" i="164"/>
  <c r="AF29" i="164"/>
  <c r="AF28" i="164"/>
  <c r="AF27" i="164"/>
  <c r="AE31" i="164"/>
  <c r="AE30" i="164"/>
  <c r="AE29" i="164"/>
  <c r="AE28" i="164"/>
  <c r="AE27" i="164"/>
  <c r="AD31" i="164"/>
  <c r="AD30" i="164"/>
  <c r="AD29" i="164"/>
  <c r="AD28" i="164"/>
  <c r="AD27" i="164"/>
  <c r="AC31" i="164"/>
  <c r="AC30" i="164"/>
  <c r="AC29" i="164"/>
  <c r="AC28" i="164"/>
  <c r="AC27" i="164"/>
  <c r="AB31" i="164"/>
  <c r="AB30" i="164"/>
  <c r="AB29" i="164"/>
  <c r="AB28" i="164"/>
  <c r="AB27" i="164"/>
  <c r="AA31" i="164"/>
  <c r="AA30" i="164"/>
  <c r="AA29" i="164"/>
  <c r="AA28" i="164"/>
  <c r="AA27" i="164"/>
  <c r="Z31" i="164"/>
  <c r="Z30" i="164"/>
  <c r="Z29" i="164"/>
  <c r="Z28" i="164"/>
  <c r="Z27" i="164"/>
  <c r="Y31" i="164"/>
  <c r="Y30" i="164"/>
  <c r="Y29" i="164"/>
  <c r="Y28" i="164"/>
  <c r="Y27" i="164"/>
  <c r="X31" i="164"/>
  <c r="X30" i="164"/>
  <c r="X29" i="164"/>
  <c r="X28" i="164"/>
  <c r="X27" i="164"/>
  <c r="W31" i="164"/>
  <c r="W30" i="164"/>
  <c r="W29" i="164"/>
  <c r="W28" i="164"/>
  <c r="W27" i="164"/>
  <c r="V31" i="164"/>
  <c r="V30" i="164"/>
  <c r="V29" i="164"/>
  <c r="V28" i="164"/>
  <c r="V27" i="164"/>
  <c r="U31" i="164"/>
  <c r="U30" i="164"/>
  <c r="U29" i="164"/>
  <c r="U28" i="164"/>
  <c r="U27" i="164"/>
  <c r="T31" i="164"/>
  <c r="T30" i="164"/>
  <c r="T29" i="164"/>
  <c r="T28" i="164"/>
  <c r="T27" i="164"/>
  <c r="S31" i="164"/>
  <c r="S30" i="164"/>
  <c r="S29" i="164"/>
  <c r="S28" i="164"/>
  <c r="S27" i="164"/>
  <c r="R31" i="164"/>
  <c r="R30" i="164"/>
  <c r="R29" i="164"/>
  <c r="R28" i="164"/>
  <c r="R27" i="164"/>
  <c r="Q31" i="164"/>
  <c r="Q30" i="164"/>
  <c r="Q29" i="164"/>
  <c r="Q28" i="164"/>
  <c r="Q27" i="164"/>
  <c r="P31" i="164"/>
  <c r="P30" i="164"/>
  <c r="P29" i="164"/>
  <c r="P28" i="164"/>
  <c r="P27" i="164"/>
  <c r="O31" i="164"/>
  <c r="O30" i="164"/>
  <c r="O29" i="164"/>
  <c r="O28" i="164"/>
  <c r="O27" i="164"/>
  <c r="N31" i="164"/>
  <c r="N30" i="164"/>
  <c r="N29" i="164"/>
  <c r="N28" i="164"/>
  <c r="N27" i="164"/>
  <c r="M31" i="164"/>
  <c r="M30" i="164"/>
  <c r="M29" i="164"/>
  <c r="M28" i="164"/>
  <c r="M27" i="164"/>
  <c r="L31" i="164"/>
  <c r="L30" i="164"/>
  <c r="L29" i="164"/>
  <c r="L28" i="164"/>
  <c r="L27" i="164"/>
  <c r="K31" i="164"/>
  <c r="K30" i="164"/>
  <c r="K29" i="164"/>
  <c r="K28" i="164"/>
  <c r="K27" i="164"/>
  <c r="J31" i="164"/>
  <c r="J30" i="164"/>
  <c r="J29" i="164"/>
  <c r="J28" i="164"/>
  <c r="J27" i="164"/>
  <c r="I31" i="164"/>
  <c r="I30" i="164"/>
  <c r="I29" i="164"/>
  <c r="I28" i="164"/>
  <c r="I27" i="164"/>
  <c r="H31" i="164"/>
  <c r="H30" i="164"/>
  <c r="H29" i="164"/>
  <c r="H28" i="164"/>
  <c r="H27" i="164"/>
  <c r="G31" i="164"/>
  <c r="G30" i="164"/>
  <c r="G29" i="164"/>
  <c r="G28" i="164"/>
  <c r="G27" i="164"/>
  <c r="F31" i="164"/>
  <c r="F30" i="164"/>
  <c r="F29" i="164"/>
  <c r="F28" i="164"/>
  <c r="F27" i="164"/>
  <c r="E31" i="164"/>
  <c r="E30" i="164"/>
  <c r="E29" i="164"/>
  <c r="E28" i="164"/>
  <c r="E27" i="164"/>
  <c r="D31" i="164"/>
  <c r="D30" i="164"/>
  <c r="D29" i="164"/>
  <c r="D28" i="164"/>
  <c r="D27" i="164"/>
  <c r="C31" i="164"/>
  <c r="C30" i="164"/>
  <c r="C29" i="164"/>
  <c r="C28" i="164"/>
  <c r="C27" i="164"/>
  <c r="AK26" i="164"/>
  <c r="AJ26" i="164"/>
  <c r="AI26" i="164"/>
  <c r="AJ25" i="164"/>
  <c r="AI25" i="164"/>
  <c r="AJ24" i="164"/>
  <c r="AI24" i="164"/>
  <c r="AJ23" i="164"/>
  <c r="AI23" i="164"/>
  <c r="AK22" i="164"/>
  <c r="AJ22" i="164"/>
  <c r="AI22" i="164"/>
  <c r="AJ21" i="164"/>
  <c r="AI21" i="164"/>
  <c r="AJ20" i="164"/>
  <c r="AI20" i="164"/>
  <c r="AJ19" i="164"/>
  <c r="AI19" i="164"/>
  <c r="AK18" i="164"/>
  <c r="AJ18" i="164"/>
  <c r="AI18" i="164"/>
  <c r="AJ17" i="164"/>
  <c r="AI17" i="164"/>
  <c r="AJ16" i="164"/>
  <c r="AI16" i="164"/>
  <c r="AJ15" i="164"/>
  <c r="AI15" i="164"/>
  <c r="AK14" i="164"/>
  <c r="AJ14" i="164"/>
  <c r="AI14" i="164"/>
  <c r="AJ13" i="164"/>
  <c r="AI13" i="164"/>
  <c r="AJ12" i="164"/>
  <c r="AI12" i="164"/>
  <c r="AK12" i="164" s="1"/>
  <c r="AJ11" i="164"/>
  <c r="AI11" i="164"/>
  <c r="AK10" i="164"/>
  <c r="AJ10" i="164"/>
  <c r="AI10" i="164"/>
  <c r="AJ9" i="164"/>
  <c r="AI9" i="164"/>
  <c r="AJ8" i="164"/>
  <c r="AI8" i="164"/>
  <c r="AJ7" i="164"/>
  <c r="AI7" i="164"/>
  <c r="AK6" i="164"/>
  <c r="AJ6" i="164"/>
  <c r="AI6" i="164"/>
  <c r="AJ5" i="164"/>
  <c r="AI5" i="164"/>
  <c r="AJ4" i="164"/>
  <c r="AI4" i="164"/>
  <c r="AJ3" i="164"/>
  <c r="AI3" i="164"/>
  <c r="AK25" i="164" l="1"/>
  <c r="AK24" i="164"/>
  <c r="AK23" i="164"/>
  <c r="AK21" i="164"/>
  <c r="AK20" i="164"/>
  <c r="AK19" i="164"/>
  <c r="AK17" i="164"/>
  <c r="AK16" i="164"/>
  <c r="AK15" i="164"/>
  <c r="AK13" i="164"/>
  <c r="AK11" i="164"/>
  <c r="AK9" i="164"/>
  <c r="AK8" i="164"/>
  <c r="AK7" i="164"/>
  <c r="AK5" i="164"/>
  <c r="AK4" i="164"/>
  <c r="AK3" i="164"/>
</calcChain>
</file>

<file path=xl/sharedStrings.xml><?xml version="1.0" encoding="utf-8"?>
<sst xmlns="http://schemas.openxmlformats.org/spreadsheetml/2006/main" count="872" uniqueCount="100">
  <si>
    <t>病棟名</t>
    <rPh sb="0" eb="2">
      <t>ビョウトウ</t>
    </rPh>
    <rPh sb="2" eb="3">
      <t>メイ</t>
    </rPh>
    <phoneticPr fontId="1"/>
  </si>
  <si>
    <t>シフト表開始日</t>
    <rPh sb="3" eb="4">
      <t>ヒョウ</t>
    </rPh>
    <rPh sb="4" eb="7">
      <t>カイシビ</t>
    </rPh>
    <phoneticPr fontId="1"/>
  </si>
  <si>
    <t>平日日勤の上限/下限</t>
    <rPh sb="8" eb="10">
      <t>カゲン</t>
    </rPh>
    <phoneticPr fontId="1"/>
  </si>
  <si>
    <t>休日日勤の上限/下限</t>
    <rPh sb="0" eb="2">
      <t>キュウジツ</t>
    </rPh>
    <rPh sb="2" eb="4">
      <t>ニッキン</t>
    </rPh>
    <rPh sb="5" eb="7">
      <t>ジョウゲン</t>
    </rPh>
    <rPh sb="8" eb="10">
      <t>カゲン</t>
    </rPh>
    <phoneticPr fontId="1"/>
  </si>
  <si>
    <t>スタッフ名</t>
    <rPh sb="4" eb="5">
      <t>メイ</t>
    </rPh>
    <phoneticPr fontId="1"/>
  </si>
  <si>
    <t>休日夜勤の上限/下限</t>
    <rPh sb="2" eb="3">
      <t>ヨル</t>
    </rPh>
    <phoneticPr fontId="1"/>
  </si>
  <si>
    <t>平日夜勤の上限/下限</t>
    <rPh sb="2" eb="3">
      <t>ヨル</t>
    </rPh>
    <rPh sb="8" eb="10">
      <t>カゲン</t>
    </rPh>
    <phoneticPr fontId="1"/>
  </si>
  <si>
    <t>最大勤務時間</t>
    <phoneticPr fontId="1"/>
  </si>
  <si>
    <t>最大日勤数</t>
    <rPh sb="0" eb="2">
      <t>サイダイ</t>
    </rPh>
    <rPh sb="2" eb="4">
      <t>ニッキン</t>
    </rPh>
    <rPh sb="4" eb="5">
      <t>スウ</t>
    </rPh>
    <phoneticPr fontId="1"/>
  </si>
  <si>
    <t>最大夜勤数</t>
    <rPh sb="0" eb="2">
      <t>サイダイ</t>
    </rPh>
    <rPh sb="2" eb="4">
      <t>ヤキン</t>
    </rPh>
    <rPh sb="4" eb="5">
      <t>スウ</t>
    </rPh>
    <phoneticPr fontId="1"/>
  </si>
  <si>
    <t>休日</t>
    <rPh sb="0" eb="2">
      <t>キュウジツ</t>
    </rPh>
    <phoneticPr fontId="1"/>
  </si>
  <si>
    <t>日勤リーダー数</t>
    <rPh sb="0" eb="2">
      <t>ニッキン</t>
    </rPh>
    <rPh sb="6" eb="7">
      <t>スウ</t>
    </rPh>
    <phoneticPr fontId="1"/>
  </si>
  <si>
    <t>夜勤リーダー数</t>
    <rPh sb="0" eb="2">
      <t>ヤキン</t>
    </rPh>
    <rPh sb="6" eb="7">
      <t>スウ</t>
    </rPh>
    <phoneticPr fontId="1"/>
  </si>
  <si>
    <t>X</t>
  </si>
  <si>
    <t>公休日</t>
    <rPh sb="0" eb="3">
      <t>コウキュウビ</t>
    </rPh>
    <phoneticPr fontId="1"/>
  </si>
  <si>
    <t>★</t>
    <phoneticPr fontId="1"/>
  </si>
  <si>
    <t>相性(1-9)</t>
    <rPh sb="0" eb="2">
      <t>アイショウ</t>
    </rPh>
    <phoneticPr fontId="1"/>
  </si>
  <si>
    <t>日勤</t>
    <rPh sb="0" eb="2">
      <t>ニッキン</t>
    </rPh>
    <phoneticPr fontId="1"/>
  </si>
  <si>
    <t>夜勤</t>
    <rPh sb="0" eb="2">
      <t>ヤキン</t>
    </rPh>
    <phoneticPr fontId="1"/>
  </si>
  <si>
    <t>夜勤明け</t>
    <rPh sb="0" eb="3">
      <t>ヤキンア</t>
    </rPh>
    <phoneticPr fontId="1"/>
  </si>
  <si>
    <t>休み</t>
    <rPh sb="0" eb="1">
      <t>ヤス</t>
    </rPh>
    <phoneticPr fontId="1"/>
  </si>
  <si>
    <t>☆</t>
    <phoneticPr fontId="1"/>
  </si>
  <si>
    <t>属性
(師長:4, 主任:3, リーダー:2,スタッフ:1)</t>
    <rPh sb="0" eb="2">
      <t>ゾクセイ</t>
    </rPh>
    <rPh sb="4" eb="5">
      <t>シ</t>
    </rPh>
    <rPh sb="5" eb="6">
      <t>チョウ</t>
    </rPh>
    <rPh sb="10" eb="12">
      <t>シュニン</t>
    </rPh>
    <phoneticPr fontId="1"/>
  </si>
  <si>
    <t>入明入明希望</t>
    <rPh sb="0" eb="2">
      <t>イリアケ</t>
    </rPh>
    <rPh sb="2" eb="4">
      <t>イリアケ</t>
    </rPh>
    <rPh sb="4" eb="6">
      <t>キボウ</t>
    </rPh>
    <phoneticPr fontId="1"/>
  </si>
  <si>
    <t>5西</t>
    <rPh sb="1" eb="2">
      <t>ニシ</t>
    </rPh>
    <phoneticPr fontId="1"/>
  </si>
  <si>
    <t>前月末日勤務
(夜勤:1, 明け:2)</t>
    <rPh sb="0" eb="2">
      <t>ゼンゲツ</t>
    </rPh>
    <rPh sb="2" eb="3">
      <t>マツ</t>
    </rPh>
    <rPh sb="3" eb="4">
      <t>ヒ</t>
    </rPh>
    <rPh sb="4" eb="6">
      <t>キンム</t>
    </rPh>
    <rPh sb="8" eb="10">
      <t>ヤキン</t>
    </rPh>
    <rPh sb="14" eb="15">
      <t>ア</t>
    </rPh>
    <phoneticPr fontId="1"/>
  </si>
  <si>
    <t>β1</t>
    <phoneticPr fontId="1"/>
  </si>
  <si>
    <t>β12</t>
  </si>
  <si>
    <t>β2</t>
    <phoneticPr fontId="1"/>
  </si>
  <si>
    <t>β3</t>
  </si>
  <si>
    <t>β4</t>
  </si>
  <si>
    <t>β5</t>
  </si>
  <si>
    <t>β6</t>
  </si>
  <si>
    <t>β7</t>
  </si>
  <si>
    <t>β8</t>
  </si>
  <si>
    <t>β9</t>
  </si>
  <si>
    <t>β10</t>
  </si>
  <si>
    <t>β11</t>
  </si>
  <si>
    <t>β13</t>
  </si>
  <si>
    <t>β14</t>
  </si>
  <si>
    <t>β15</t>
  </si>
  <si>
    <t>β16</t>
  </si>
  <si>
    <t>β17</t>
  </si>
  <si>
    <t>β18</t>
  </si>
  <si>
    <t>β19</t>
  </si>
  <si>
    <t>β20</t>
  </si>
  <si>
    <t>β21</t>
  </si>
  <si>
    <t>β22</t>
  </si>
  <si>
    <t>β23</t>
  </si>
  <si>
    <t>D</t>
    <phoneticPr fontId="1"/>
  </si>
  <si>
    <t>β24</t>
  </si>
  <si>
    <t>前月末連続日勤数</t>
    <rPh sb="0" eb="3">
      <t>ゼンゲツマツ</t>
    </rPh>
    <rPh sb="3" eb="5">
      <t>レンゾク</t>
    </rPh>
    <rPh sb="5" eb="7">
      <t>ニッキン</t>
    </rPh>
    <rPh sb="7" eb="8">
      <t>スウ</t>
    </rPh>
    <phoneticPr fontId="1"/>
  </si>
  <si>
    <t>5西</t>
  </si>
  <si>
    <t>7/1(月)</t>
  </si>
  <si>
    <t>7/2(火)</t>
  </si>
  <si>
    <t>7/3(水)</t>
  </si>
  <si>
    <t>7/4(木)</t>
  </si>
  <si>
    <t>7/5(金)</t>
  </si>
  <si>
    <t>7/6(土)</t>
  </si>
  <si>
    <t>7/7(日)</t>
  </si>
  <si>
    <t>7/8(月)</t>
  </si>
  <si>
    <t>7/9(火)</t>
  </si>
  <si>
    <t>7/10(水)</t>
  </si>
  <si>
    <t>7/11(木)</t>
  </si>
  <si>
    <t>7/12(金)</t>
  </si>
  <si>
    <t>7/13(土)</t>
  </si>
  <si>
    <t>7/14(日)</t>
  </si>
  <si>
    <t>7/15(月)</t>
  </si>
  <si>
    <t>7/16(火)</t>
  </si>
  <si>
    <t>7/17(水)</t>
  </si>
  <si>
    <t>7/18(木)</t>
  </si>
  <si>
    <t>7/19(金)</t>
  </si>
  <si>
    <t>7/20(土)</t>
  </si>
  <si>
    <t>7/21(日)</t>
  </si>
  <si>
    <t>7/22(月)</t>
  </si>
  <si>
    <t>7/23(火)</t>
  </si>
  <si>
    <t>7/24(水)</t>
  </si>
  <si>
    <t>7/25(木)</t>
  </si>
  <si>
    <t>7/26(金)</t>
  </si>
  <si>
    <t>7/27(土)</t>
  </si>
  <si>
    <t>7/28(日)</t>
  </si>
  <si>
    <t>7/29(月)</t>
  </si>
  <si>
    <t>7/30(火)</t>
  </si>
  <si>
    <t>7/31(水)</t>
  </si>
  <si>
    <t>β1</t>
  </si>
  <si>
    <t>β2</t>
  </si>
  <si>
    <t>★</t>
  </si>
  <si>
    <t>D</t>
  </si>
  <si>
    <t>☆</t>
  </si>
  <si>
    <t>日勤数</t>
  </si>
  <si>
    <t>夜勤数</t>
  </si>
  <si>
    <t>総勤務時間</t>
  </si>
  <si>
    <t>日勤者数</t>
  </si>
  <si>
    <t>夜勤者数</t>
  </si>
  <si>
    <t>休み者数</t>
  </si>
  <si>
    <t>日勤リーダー可能スタッフ数</t>
  </si>
  <si>
    <t>夜勤リーダー可能スタッフ数</t>
  </si>
  <si>
    <t>週末のみ夜勤</t>
    <rPh sb="0" eb="2">
      <t>シュウマツ</t>
    </rPh>
    <rPh sb="4" eb="6">
      <t>ヤキン</t>
    </rPh>
    <phoneticPr fontId="1"/>
  </si>
  <si>
    <t>最大連続日勤日数</t>
    <rPh sb="0" eb="2">
      <t>サイダイ</t>
    </rPh>
    <rPh sb="2" eb="4">
      <t>レンゾク</t>
    </rPh>
    <rPh sb="4" eb="6">
      <t>ニッキン</t>
    </rPh>
    <rPh sb="6" eb="8">
      <t>ニッスウ</t>
    </rPh>
    <phoneticPr fontId="1"/>
  </si>
  <si>
    <t>Generated on: 2024-10-22 07:34:44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</si>
</sst>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B6C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 shrinkToFit="1"/>
    </xf>
  </cellStyleXfs>
  <cellXfs count="16">
    <xf numFmtId="0" fontId="0" fillId="0" borderId="0" xfId="0">
      <alignment vertical="center" shrinkToFit="1"/>
    </xf>
    <xf numFmtId="0" fontId="2" fillId="2" borderId="1" xfId="0" applyFont="1" applyFill="1" applyBorder="1">
      <alignment vertical="center" shrinkToFit="1"/>
    </xf>
    <xf numFmtId="0" fontId="2" fillId="0" borderId="0" xfId="0" applyFont="1">
      <alignment vertical="center" shrinkToFit="1"/>
    </xf>
    <xf numFmtId="0" fontId="2" fillId="0" borderId="1" xfId="0" applyFont="1" applyBorder="1">
      <alignment vertical="center" shrinkToFit="1"/>
    </xf>
    <xf numFmtId="56" fontId="2" fillId="0" borderId="1" xfId="0" applyNumberFormat="1" applyFont="1" applyBorder="1">
      <alignment vertical="center" shrinkToFit="1"/>
    </xf>
    <xf numFmtId="56" fontId="2" fillId="0" borderId="2" xfId="0" applyNumberFormat="1" applyFont="1" applyBorder="1">
      <alignment vertical="center" shrinkToFit="1"/>
    </xf>
    <xf numFmtId="0" fontId="2" fillId="0" borderId="3" xfId="0" applyFont="1" applyBorder="1">
      <alignment vertical="center" shrinkToFit="1"/>
    </xf>
    <xf numFmtId="0" fontId="2" fillId="3" borderId="1" xfId="0" applyFont="1" applyFill="1" applyBorder="1">
      <alignment vertical="center" shrinkToFit="1"/>
    </xf>
    <xf numFmtId="0" fontId="2" fillId="3" borderId="1" xfId="0" applyFont="1" applyFill="1" applyBorder="1" applyAlignment="1">
      <alignment vertical="top" wrapText="1"/>
    </xf>
    <xf numFmtId="0" fontId="2" fillId="3" borderId="1" xfId="0" applyFont="1" applyFill="1" applyBorder="1" applyAlignment="1">
      <alignment vertical="center" wrapText="1" shrinkToFit="1"/>
    </xf>
    <xf numFmtId="0" fontId="2" fillId="0" borderId="4" xfId="0" applyFont="1" applyBorder="1">
      <alignment vertical="center" shrinkToFit="1"/>
    </xf>
    <xf numFmtId="0" fontId="2" fillId="0" borderId="5" xfId="0" applyFont="1" applyBorder="1">
      <alignment vertical="center" shrinkToFit="1"/>
    </xf>
    <xf numFmtId="14" fontId="0" fillId="0" borderId="0" xfId="0" applyNumberFormat="1">
      <alignment vertical="center" shrinkToFit="1"/>
    </xf>
    <xf numFmtId="0" fontId="0" fillId="4" borderId="0" xfId="0" applyFill="1">
      <alignment vertical="center" shrinkToFit="1"/>
    </xf>
    <xf numFmtId="0" fontId="0" fillId="5" borderId="0" xfId="0" applyFill="1">
      <alignment vertical="center" shrinkToFit="1"/>
    </xf>
    <xf numFmtId="0" fontId="0" fillId="6" borderId="0" xfId="0" applyFill="1">
      <alignment vertical="center" shrinkToFit="1"/>
    </xf>
  </cellXfs>
  <cellStyles count="1"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477AC-480B-4AAE-874A-B81E660C6E6B}">
  <sheetPr codeName="Sheet2"/>
  <dimension ref="A1:AK31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.75" x14ac:dyDescent="0.4"/>
  <sheetData>
    <row r="1" spans="1:37" x14ac:dyDescent="0.4">
      <c r="A1" t="s">
        <v>52</v>
      </c>
      <c r="B1" s="12">
        <v>45474</v>
      </c>
      <c r="C1" t="s">
        <v>99</v>
      </c>
      <c r="AI1" t="s">
        <v>89</v>
      </c>
      <c r="AJ1" t="s">
        <v>90</v>
      </c>
      <c r="AK1" t="s">
        <v>91</v>
      </c>
    </row>
    <row r="2" spans="1:37" x14ac:dyDescent="0.4">
      <c r="C2" t="s">
        <v>53</v>
      </c>
      <c r="D2" t="s">
        <v>54</v>
      </c>
      <c r="E2" t="s">
        <v>55</v>
      </c>
      <c r="F2" t="s">
        <v>56</v>
      </c>
      <c r="G2" t="s">
        <v>57</v>
      </c>
      <c r="H2" s="14" t="s">
        <v>58</v>
      </c>
      <c r="I2" s="15" t="s">
        <v>59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s="14" t="s">
        <v>65</v>
      </c>
      <c r="P2" s="15" t="s">
        <v>66</v>
      </c>
      <c r="Q2" s="15" t="s">
        <v>67</v>
      </c>
      <c r="R2" t="s">
        <v>68</v>
      </c>
      <c r="S2" t="s">
        <v>69</v>
      </c>
      <c r="T2" t="s">
        <v>70</v>
      </c>
      <c r="U2" t="s">
        <v>71</v>
      </c>
      <c r="V2" s="14" t="s">
        <v>72</v>
      </c>
      <c r="W2" s="15" t="s">
        <v>73</v>
      </c>
      <c r="X2" t="s">
        <v>74</v>
      </c>
      <c r="Y2" t="s">
        <v>75</v>
      </c>
      <c r="Z2" t="s">
        <v>76</v>
      </c>
      <c r="AA2" t="s">
        <v>77</v>
      </c>
      <c r="AB2" t="s">
        <v>78</v>
      </c>
      <c r="AC2" s="14" t="s">
        <v>79</v>
      </c>
      <c r="AD2" s="15" t="s">
        <v>80</v>
      </c>
      <c r="AE2" t="s">
        <v>81</v>
      </c>
      <c r="AF2" t="s">
        <v>82</v>
      </c>
      <c r="AG2" t="s">
        <v>83</v>
      </c>
    </row>
    <row r="3" spans="1:37" x14ac:dyDescent="0.4">
      <c r="A3" t="s">
        <v>84</v>
      </c>
      <c r="B3">
        <v>4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13</v>
      </c>
      <c r="I3" t="s">
        <v>13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13</v>
      </c>
      <c r="P3" t="s">
        <v>13</v>
      </c>
      <c r="Q3" t="s">
        <v>13</v>
      </c>
      <c r="R3" t="s">
        <v>87</v>
      </c>
      <c r="S3" t="s">
        <v>87</v>
      </c>
      <c r="T3" t="s">
        <v>87</v>
      </c>
      <c r="U3" t="s">
        <v>87</v>
      </c>
      <c r="V3" t="s">
        <v>13</v>
      </c>
      <c r="W3" t="s">
        <v>13</v>
      </c>
      <c r="X3" t="s">
        <v>87</v>
      </c>
      <c r="Y3" t="s">
        <v>87</v>
      </c>
      <c r="Z3" t="s">
        <v>87</v>
      </c>
      <c r="AA3" t="s">
        <v>87</v>
      </c>
      <c r="AB3" t="s">
        <v>87</v>
      </c>
      <c r="AC3" t="s">
        <v>13</v>
      </c>
      <c r="AD3" t="s">
        <v>13</v>
      </c>
      <c r="AE3" t="s">
        <v>87</v>
      </c>
      <c r="AF3" t="s">
        <v>13</v>
      </c>
      <c r="AG3" t="s">
        <v>13</v>
      </c>
      <c r="AH3">
        <v>170</v>
      </c>
      <c r="AI3">
        <f>COUNTIF(C3:AG3, "D")</f>
        <v>20</v>
      </c>
      <c r="AJ3">
        <f>COUNTIF(C3:AG3, "☆")</f>
        <v>0</v>
      </c>
      <c r="AK3">
        <f>AI3*8.5 + AJ3*14.5</f>
        <v>170</v>
      </c>
    </row>
    <row r="4" spans="1:37" x14ac:dyDescent="0.4">
      <c r="A4" t="s">
        <v>85</v>
      </c>
      <c r="B4">
        <v>3</v>
      </c>
      <c r="C4" t="s">
        <v>86</v>
      </c>
      <c r="D4" t="s">
        <v>13</v>
      </c>
      <c r="E4" t="s">
        <v>87</v>
      </c>
      <c r="F4" t="s">
        <v>87</v>
      </c>
      <c r="G4" t="s">
        <v>87</v>
      </c>
      <c r="H4" t="s">
        <v>13</v>
      </c>
      <c r="I4" t="s">
        <v>87</v>
      </c>
      <c r="J4" t="s">
        <v>87</v>
      </c>
      <c r="K4" t="s">
        <v>88</v>
      </c>
      <c r="L4" t="s">
        <v>86</v>
      </c>
      <c r="M4" t="s">
        <v>13</v>
      </c>
      <c r="N4" t="s">
        <v>88</v>
      </c>
      <c r="O4" t="s">
        <v>86</v>
      </c>
      <c r="P4" t="s">
        <v>13</v>
      </c>
      <c r="Q4" t="s">
        <v>87</v>
      </c>
      <c r="R4" t="s">
        <v>87</v>
      </c>
      <c r="S4" t="s">
        <v>88</v>
      </c>
      <c r="T4" t="s">
        <v>86</v>
      </c>
      <c r="U4" t="s">
        <v>13</v>
      </c>
      <c r="V4" t="s">
        <v>87</v>
      </c>
      <c r="W4" t="s">
        <v>88</v>
      </c>
      <c r="X4" t="s">
        <v>86</v>
      </c>
      <c r="Y4" t="s">
        <v>13</v>
      </c>
      <c r="Z4" t="s">
        <v>88</v>
      </c>
      <c r="AA4" t="s">
        <v>86</v>
      </c>
      <c r="AB4" t="s">
        <v>13</v>
      </c>
      <c r="AC4" t="s">
        <v>87</v>
      </c>
      <c r="AD4" t="s">
        <v>13</v>
      </c>
      <c r="AE4" t="s">
        <v>13</v>
      </c>
      <c r="AF4" t="s">
        <v>13</v>
      </c>
      <c r="AG4" t="s">
        <v>88</v>
      </c>
      <c r="AH4">
        <v>163.5</v>
      </c>
      <c r="AI4">
        <f>COUNTIF(C4:AG4, "D")</f>
        <v>9</v>
      </c>
      <c r="AJ4">
        <f>COUNTIF(C4:AG4, "☆")</f>
        <v>6</v>
      </c>
      <c r="AK4">
        <f>AI4*8.5 + AJ4*14.5</f>
        <v>163.5</v>
      </c>
    </row>
    <row r="5" spans="1:37" x14ac:dyDescent="0.4">
      <c r="A5" t="s">
        <v>29</v>
      </c>
      <c r="B5">
        <v>3</v>
      </c>
      <c r="C5" t="s">
        <v>13</v>
      </c>
      <c r="D5" t="s">
        <v>88</v>
      </c>
      <c r="E5" t="s">
        <v>86</v>
      </c>
      <c r="F5" t="s">
        <v>13</v>
      </c>
      <c r="G5" t="s">
        <v>88</v>
      </c>
      <c r="H5" t="s">
        <v>86</v>
      </c>
      <c r="I5" t="s">
        <v>13</v>
      </c>
      <c r="J5" t="s">
        <v>88</v>
      </c>
      <c r="K5" t="s">
        <v>86</v>
      </c>
      <c r="L5" t="s">
        <v>13</v>
      </c>
      <c r="M5" t="s">
        <v>87</v>
      </c>
      <c r="N5" t="s">
        <v>87</v>
      </c>
      <c r="O5" t="s">
        <v>87</v>
      </c>
      <c r="P5" t="s">
        <v>13</v>
      </c>
      <c r="Q5" t="s">
        <v>13</v>
      </c>
      <c r="R5" t="s">
        <v>13</v>
      </c>
      <c r="S5" t="s">
        <v>87</v>
      </c>
      <c r="T5" t="s">
        <v>87</v>
      </c>
      <c r="U5" t="s">
        <v>88</v>
      </c>
      <c r="V5" t="s">
        <v>86</v>
      </c>
      <c r="W5" t="s">
        <v>13</v>
      </c>
      <c r="X5" t="s">
        <v>87</v>
      </c>
      <c r="Y5" t="s">
        <v>87</v>
      </c>
      <c r="Z5" t="s">
        <v>87</v>
      </c>
      <c r="AA5" t="s">
        <v>13</v>
      </c>
      <c r="AB5" t="s">
        <v>88</v>
      </c>
      <c r="AC5" t="s">
        <v>86</v>
      </c>
      <c r="AD5" t="s">
        <v>13</v>
      </c>
      <c r="AE5" t="s">
        <v>87</v>
      </c>
      <c r="AF5" t="s">
        <v>87</v>
      </c>
      <c r="AG5" t="s">
        <v>87</v>
      </c>
      <c r="AH5">
        <v>166</v>
      </c>
      <c r="AI5">
        <f>COUNTIF(C5:AG5, "D")</f>
        <v>11</v>
      </c>
      <c r="AJ5">
        <f>COUNTIF(C5:AG5, "☆")</f>
        <v>5</v>
      </c>
      <c r="AK5">
        <f>AI5*8.5 + AJ5*14.5</f>
        <v>166</v>
      </c>
    </row>
    <row r="6" spans="1:37" x14ac:dyDescent="0.4">
      <c r="A6" t="s">
        <v>30</v>
      </c>
      <c r="B6">
        <v>2</v>
      </c>
      <c r="C6" t="s">
        <v>87</v>
      </c>
      <c r="D6" t="s">
        <v>13</v>
      </c>
      <c r="E6" t="s">
        <v>87</v>
      </c>
      <c r="F6" t="s">
        <v>87</v>
      </c>
      <c r="G6" t="s">
        <v>87</v>
      </c>
      <c r="H6" t="s">
        <v>88</v>
      </c>
      <c r="I6" t="s">
        <v>86</v>
      </c>
      <c r="J6" t="s">
        <v>13</v>
      </c>
      <c r="K6" t="s">
        <v>87</v>
      </c>
      <c r="L6" t="s">
        <v>88</v>
      </c>
      <c r="M6" t="s">
        <v>86</v>
      </c>
      <c r="N6" t="s">
        <v>13</v>
      </c>
      <c r="O6" t="s">
        <v>87</v>
      </c>
      <c r="P6" t="s">
        <v>88</v>
      </c>
      <c r="Q6" t="s">
        <v>86</v>
      </c>
      <c r="R6" t="s">
        <v>13</v>
      </c>
      <c r="S6" t="s">
        <v>13</v>
      </c>
      <c r="T6" t="s">
        <v>13</v>
      </c>
      <c r="U6" t="s">
        <v>87</v>
      </c>
      <c r="V6" t="s">
        <v>13</v>
      </c>
      <c r="W6" t="s">
        <v>87</v>
      </c>
      <c r="X6" t="s">
        <v>88</v>
      </c>
      <c r="Y6" t="s">
        <v>86</v>
      </c>
      <c r="Z6" t="s">
        <v>13</v>
      </c>
      <c r="AA6" t="s">
        <v>87</v>
      </c>
      <c r="AB6" t="s">
        <v>87</v>
      </c>
      <c r="AC6" t="s">
        <v>13</v>
      </c>
      <c r="AD6" t="s">
        <v>87</v>
      </c>
      <c r="AE6" t="s">
        <v>88</v>
      </c>
      <c r="AF6" t="s">
        <v>86</v>
      </c>
      <c r="AG6" t="s">
        <v>13</v>
      </c>
      <c r="AH6">
        <v>166</v>
      </c>
      <c r="AI6">
        <f>COUNTIF(C6:AG6, "D")</f>
        <v>11</v>
      </c>
      <c r="AJ6">
        <f>COUNTIF(C6:AG6, "☆")</f>
        <v>5</v>
      </c>
      <c r="AK6">
        <f>AI6*8.5 + AJ6*14.5</f>
        <v>166</v>
      </c>
    </row>
    <row r="7" spans="1:37" x14ac:dyDescent="0.4">
      <c r="A7" t="s">
        <v>31</v>
      </c>
      <c r="B7">
        <v>2</v>
      </c>
      <c r="C7" t="s">
        <v>13</v>
      </c>
      <c r="D7" t="s">
        <v>87</v>
      </c>
      <c r="E7" t="s">
        <v>87</v>
      </c>
      <c r="F7" t="s">
        <v>13</v>
      </c>
      <c r="G7" t="s">
        <v>87</v>
      </c>
      <c r="H7" t="s">
        <v>87</v>
      </c>
      <c r="I7" t="s">
        <v>13</v>
      </c>
      <c r="J7" t="s">
        <v>87</v>
      </c>
      <c r="K7" t="s">
        <v>13</v>
      </c>
      <c r="L7" t="s">
        <v>87</v>
      </c>
      <c r="M7" t="s">
        <v>88</v>
      </c>
      <c r="N7" t="s">
        <v>86</v>
      </c>
      <c r="O7" t="s">
        <v>13</v>
      </c>
      <c r="P7" t="s">
        <v>87</v>
      </c>
      <c r="Q7" t="s">
        <v>87</v>
      </c>
      <c r="R7" t="s">
        <v>88</v>
      </c>
      <c r="S7" t="s">
        <v>86</v>
      </c>
      <c r="T7" t="s">
        <v>13</v>
      </c>
      <c r="U7" t="s">
        <v>87</v>
      </c>
      <c r="V7" t="s">
        <v>87</v>
      </c>
      <c r="W7" t="s">
        <v>87</v>
      </c>
      <c r="X7" t="s">
        <v>13</v>
      </c>
      <c r="Y7" t="s">
        <v>87</v>
      </c>
      <c r="Z7" t="s">
        <v>13</v>
      </c>
      <c r="AA7" t="s">
        <v>87</v>
      </c>
      <c r="AB7" t="s">
        <v>13</v>
      </c>
      <c r="AC7" t="s">
        <v>88</v>
      </c>
      <c r="AD7" t="s">
        <v>86</v>
      </c>
      <c r="AE7" t="s">
        <v>13</v>
      </c>
      <c r="AF7" t="s">
        <v>88</v>
      </c>
      <c r="AG7" t="s">
        <v>86</v>
      </c>
      <c r="AH7">
        <v>168.5</v>
      </c>
      <c r="AI7">
        <f>COUNTIF(C7:AG7, "D")</f>
        <v>13</v>
      </c>
      <c r="AJ7">
        <f>COUNTIF(C7:AG7, "☆")</f>
        <v>4</v>
      </c>
      <c r="AK7">
        <f>AI7*8.5 + AJ7*14.5</f>
        <v>168.5</v>
      </c>
    </row>
    <row r="8" spans="1:37" x14ac:dyDescent="0.4">
      <c r="A8" t="s">
        <v>32</v>
      </c>
      <c r="B8">
        <v>2</v>
      </c>
      <c r="C8" t="s">
        <v>13</v>
      </c>
      <c r="D8" t="s">
        <v>87</v>
      </c>
      <c r="E8" t="s">
        <v>87</v>
      </c>
      <c r="F8" t="s">
        <v>87</v>
      </c>
      <c r="G8" t="s">
        <v>13</v>
      </c>
      <c r="H8" t="s">
        <v>87</v>
      </c>
      <c r="I8" t="s">
        <v>87</v>
      </c>
      <c r="J8" t="s">
        <v>87</v>
      </c>
      <c r="K8" t="s">
        <v>13</v>
      </c>
      <c r="L8" t="s">
        <v>87</v>
      </c>
      <c r="M8" t="s">
        <v>87</v>
      </c>
      <c r="N8" t="s">
        <v>87</v>
      </c>
      <c r="O8" t="s">
        <v>88</v>
      </c>
      <c r="P8" t="s">
        <v>86</v>
      </c>
      <c r="Q8" t="s">
        <v>13</v>
      </c>
      <c r="R8" t="s">
        <v>87</v>
      </c>
      <c r="S8" t="s">
        <v>87</v>
      </c>
      <c r="T8" t="s">
        <v>87</v>
      </c>
      <c r="U8" t="s">
        <v>13</v>
      </c>
      <c r="V8" t="s">
        <v>88</v>
      </c>
      <c r="W8" t="s">
        <v>86</v>
      </c>
      <c r="X8" t="s">
        <v>13</v>
      </c>
      <c r="Y8" t="s">
        <v>87</v>
      </c>
      <c r="Z8" t="s">
        <v>87</v>
      </c>
      <c r="AA8" t="s">
        <v>13</v>
      </c>
      <c r="AB8" t="s">
        <v>13</v>
      </c>
      <c r="AC8" t="s">
        <v>87</v>
      </c>
      <c r="AD8" t="s">
        <v>13</v>
      </c>
      <c r="AE8" t="s">
        <v>13</v>
      </c>
      <c r="AF8" t="s">
        <v>87</v>
      </c>
      <c r="AG8" t="s">
        <v>13</v>
      </c>
      <c r="AH8">
        <v>165</v>
      </c>
      <c r="AI8">
        <f>COUNTIF(C8:AG8, "D")</f>
        <v>16</v>
      </c>
      <c r="AJ8">
        <f>COUNTIF(C8:AG8, "☆")</f>
        <v>2</v>
      </c>
      <c r="AK8">
        <f>AI8*8.5 + AJ8*14.5</f>
        <v>165</v>
      </c>
    </row>
    <row r="9" spans="1:37" x14ac:dyDescent="0.4">
      <c r="A9" t="s">
        <v>33</v>
      </c>
      <c r="B9">
        <v>2</v>
      </c>
      <c r="C9" t="s">
        <v>13</v>
      </c>
      <c r="D9" t="s">
        <v>87</v>
      </c>
      <c r="E9" t="s">
        <v>87</v>
      </c>
      <c r="F9" t="s">
        <v>87</v>
      </c>
      <c r="G9" t="s">
        <v>13</v>
      </c>
      <c r="H9" t="s">
        <v>87</v>
      </c>
      <c r="I9" t="s">
        <v>87</v>
      </c>
      <c r="J9" t="s">
        <v>87</v>
      </c>
      <c r="K9" t="s">
        <v>13</v>
      </c>
      <c r="L9" t="s">
        <v>87</v>
      </c>
      <c r="M9" t="s">
        <v>87</v>
      </c>
      <c r="N9" t="s">
        <v>88</v>
      </c>
      <c r="O9" t="s">
        <v>86</v>
      </c>
      <c r="P9" t="s">
        <v>13</v>
      </c>
      <c r="Q9" t="s">
        <v>87</v>
      </c>
      <c r="R9" t="s">
        <v>87</v>
      </c>
      <c r="S9" t="s">
        <v>13</v>
      </c>
      <c r="T9" t="s">
        <v>13</v>
      </c>
      <c r="U9" t="s">
        <v>87</v>
      </c>
      <c r="V9" t="s">
        <v>88</v>
      </c>
      <c r="W9" t="s">
        <v>86</v>
      </c>
      <c r="X9" t="s">
        <v>13</v>
      </c>
      <c r="Y9" t="s">
        <v>87</v>
      </c>
      <c r="Z9" t="s">
        <v>13</v>
      </c>
      <c r="AA9" t="s">
        <v>87</v>
      </c>
      <c r="AB9" t="s">
        <v>88</v>
      </c>
      <c r="AC9" t="s">
        <v>86</v>
      </c>
      <c r="AD9" t="s">
        <v>13</v>
      </c>
      <c r="AE9" t="s">
        <v>87</v>
      </c>
      <c r="AF9" t="s">
        <v>13</v>
      </c>
      <c r="AG9" t="s">
        <v>13</v>
      </c>
      <c r="AH9">
        <v>162.5</v>
      </c>
      <c r="AI9">
        <f>COUNTIF(C9:AG9, "D")</f>
        <v>14</v>
      </c>
      <c r="AJ9">
        <f>COUNTIF(C9:AG9, "☆")</f>
        <v>3</v>
      </c>
      <c r="AK9">
        <f>AI9*8.5 + AJ9*14.5</f>
        <v>162.5</v>
      </c>
    </row>
    <row r="10" spans="1:37" x14ac:dyDescent="0.4">
      <c r="A10" t="s">
        <v>34</v>
      </c>
      <c r="B10">
        <v>2</v>
      </c>
      <c r="C10" t="s">
        <v>13</v>
      </c>
      <c r="D10" s="13" t="s">
        <v>13</v>
      </c>
      <c r="E10" t="s">
        <v>88</v>
      </c>
      <c r="F10" t="s">
        <v>86</v>
      </c>
      <c r="G10" t="s">
        <v>88</v>
      </c>
      <c r="H10" t="s">
        <v>86</v>
      </c>
      <c r="I10" t="s">
        <v>13</v>
      </c>
      <c r="J10" t="s">
        <v>88</v>
      </c>
      <c r="K10" t="s">
        <v>86</v>
      </c>
      <c r="L10" t="s">
        <v>88</v>
      </c>
      <c r="M10" t="s">
        <v>86</v>
      </c>
      <c r="N10" t="s">
        <v>13</v>
      </c>
      <c r="O10" t="s">
        <v>88</v>
      </c>
      <c r="P10" t="s">
        <v>86</v>
      </c>
      <c r="Q10" t="s">
        <v>88</v>
      </c>
      <c r="R10" t="s">
        <v>86</v>
      </c>
      <c r="S10" t="s">
        <v>13</v>
      </c>
      <c r="T10" t="s">
        <v>13</v>
      </c>
      <c r="U10" t="s">
        <v>13</v>
      </c>
      <c r="V10" s="13" t="s">
        <v>13</v>
      </c>
      <c r="W10" t="s">
        <v>13</v>
      </c>
      <c r="X10" t="s">
        <v>88</v>
      </c>
      <c r="Y10" t="s">
        <v>86</v>
      </c>
      <c r="Z10" t="s">
        <v>88</v>
      </c>
      <c r="AA10" t="s">
        <v>86</v>
      </c>
      <c r="AB10" t="s">
        <v>13</v>
      </c>
      <c r="AC10" t="s">
        <v>13</v>
      </c>
      <c r="AD10" t="s">
        <v>13</v>
      </c>
      <c r="AE10" t="s">
        <v>88</v>
      </c>
      <c r="AF10" t="s">
        <v>86</v>
      </c>
      <c r="AG10" t="s">
        <v>88</v>
      </c>
      <c r="AH10">
        <v>145</v>
      </c>
      <c r="AI10">
        <f>COUNTIF(C10:AG10, "D")</f>
        <v>0</v>
      </c>
      <c r="AJ10">
        <f>COUNTIF(C10:AG10, "☆")</f>
        <v>10</v>
      </c>
      <c r="AK10">
        <f>AI10*8.5 + AJ10*14.5</f>
        <v>145</v>
      </c>
    </row>
    <row r="11" spans="1:37" x14ac:dyDescent="0.4">
      <c r="A11" t="s">
        <v>35</v>
      </c>
      <c r="B11">
        <v>2</v>
      </c>
      <c r="C11" t="s">
        <v>88</v>
      </c>
      <c r="D11" t="s">
        <v>86</v>
      </c>
      <c r="E11" t="s">
        <v>13</v>
      </c>
      <c r="F11" t="s">
        <v>13</v>
      </c>
      <c r="G11" s="13" t="s">
        <v>13</v>
      </c>
      <c r="H11" t="s">
        <v>13</v>
      </c>
      <c r="I11" t="s">
        <v>88</v>
      </c>
      <c r="J11" t="s">
        <v>86</v>
      </c>
      <c r="K11" t="s">
        <v>88</v>
      </c>
      <c r="L11" t="s">
        <v>86</v>
      </c>
      <c r="M11" t="s">
        <v>13</v>
      </c>
      <c r="N11" t="s">
        <v>88</v>
      </c>
      <c r="O11" t="s">
        <v>86</v>
      </c>
      <c r="P11" t="s">
        <v>88</v>
      </c>
      <c r="Q11" t="s">
        <v>86</v>
      </c>
      <c r="R11" t="s">
        <v>13</v>
      </c>
      <c r="S11" t="s">
        <v>13</v>
      </c>
      <c r="T11" t="s">
        <v>88</v>
      </c>
      <c r="U11" t="s">
        <v>86</v>
      </c>
      <c r="V11" t="s">
        <v>88</v>
      </c>
      <c r="W11" t="s">
        <v>86</v>
      </c>
      <c r="X11" t="s">
        <v>13</v>
      </c>
      <c r="Y11" t="s">
        <v>13</v>
      </c>
      <c r="Z11" t="s">
        <v>13</v>
      </c>
      <c r="AA11" t="s">
        <v>88</v>
      </c>
      <c r="AB11" t="s">
        <v>86</v>
      </c>
      <c r="AC11" t="s">
        <v>88</v>
      </c>
      <c r="AD11" t="s">
        <v>86</v>
      </c>
      <c r="AE11" t="s">
        <v>13</v>
      </c>
      <c r="AF11" t="s">
        <v>88</v>
      </c>
      <c r="AG11" t="s">
        <v>86</v>
      </c>
      <c r="AH11">
        <v>145</v>
      </c>
      <c r="AI11">
        <f>COUNTIF(C11:AG11, "D")</f>
        <v>0</v>
      </c>
      <c r="AJ11">
        <f>COUNTIF(C11:AG11, "☆")</f>
        <v>10</v>
      </c>
      <c r="AK11">
        <f>AI11*8.5 + AJ11*14.5</f>
        <v>145</v>
      </c>
    </row>
    <row r="12" spans="1:37" x14ac:dyDescent="0.4">
      <c r="A12" t="s">
        <v>36</v>
      </c>
      <c r="B12">
        <v>1</v>
      </c>
      <c r="C12" t="s">
        <v>13</v>
      </c>
      <c r="D12" t="s">
        <v>87</v>
      </c>
      <c r="E12" t="s">
        <v>13</v>
      </c>
      <c r="F12" t="s">
        <v>87</v>
      </c>
      <c r="G12" s="13" t="s">
        <v>13</v>
      </c>
      <c r="H12" t="s">
        <v>88</v>
      </c>
      <c r="I12" t="s">
        <v>86</v>
      </c>
      <c r="J12" t="s">
        <v>13</v>
      </c>
      <c r="K12" t="s">
        <v>87</v>
      </c>
      <c r="L12" t="s">
        <v>88</v>
      </c>
      <c r="M12" t="s">
        <v>86</v>
      </c>
      <c r="N12" t="s">
        <v>13</v>
      </c>
      <c r="O12" t="s">
        <v>87</v>
      </c>
      <c r="P12" t="s">
        <v>87</v>
      </c>
      <c r="Q12" t="s">
        <v>13</v>
      </c>
      <c r="R12" t="s">
        <v>88</v>
      </c>
      <c r="S12" t="s">
        <v>86</v>
      </c>
      <c r="T12" t="s">
        <v>13</v>
      </c>
      <c r="U12" t="s">
        <v>87</v>
      </c>
      <c r="V12" t="s">
        <v>88</v>
      </c>
      <c r="W12" t="s">
        <v>86</v>
      </c>
      <c r="X12" t="s">
        <v>13</v>
      </c>
      <c r="Y12" t="s">
        <v>88</v>
      </c>
      <c r="Z12" t="s">
        <v>86</v>
      </c>
      <c r="AA12" t="s">
        <v>13</v>
      </c>
      <c r="AB12" t="s">
        <v>87</v>
      </c>
      <c r="AC12" t="s">
        <v>87</v>
      </c>
      <c r="AD12" t="s">
        <v>88</v>
      </c>
      <c r="AE12" t="s">
        <v>86</v>
      </c>
      <c r="AF12" t="s">
        <v>13</v>
      </c>
      <c r="AG12" t="s">
        <v>87</v>
      </c>
      <c r="AH12">
        <v>163.5</v>
      </c>
      <c r="AI12">
        <f>COUNTIF(C12:AG12, "D")</f>
        <v>9</v>
      </c>
      <c r="AJ12">
        <f>COUNTIF(C12:AG12, "☆")</f>
        <v>6</v>
      </c>
      <c r="AK12">
        <f>AI12*8.5 + AJ12*14.5</f>
        <v>163.5</v>
      </c>
    </row>
    <row r="13" spans="1:37" x14ac:dyDescent="0.4">
      <c r="A13" t="s">
        <v>37</v>
      </c>
      <c r="B13">
        <v>2</v>
      </c>
      <c r="C13" t="s">
        <v>88</v>
      </c>
      <c r="D13" t="s">
        <v>86</v>
      </c>
      <c r="E13" t="s">
        <v>13</v>
      </c>
      <c r="F13" t="s">
        <v>88</v>
      </c>
      <c r="G13" t="s">
        <v>86</v>
      </c>
      <c r="H13" t="s">
        <v>13</v>
      </c>
      <c r="I13" t="s">
        <v>87</v>
      </c>
      <c r="J13" t="s">
        <v>87</v>
      </c>
      <c r="K13" t="s">
        <v>87</v>
      </c>
      <c r="L13" t="s">
        <v>13</v>
      </c>
      <c r="M13" t="s">
        <v>87</v>
      </c>
      <c r="N13" t="s">
        <v>13</v>
      </c>
      <c r="O13" t="s">
        <v>87</v>
      </c>
      <c r="P13" t="s">
        <v>87</v>
      </c>
      <c r="Q13" t="s">
        <v>88</v>
      </c>
      <c r="R13" t="s">
        <v>86</v>
      </c>
      <c r="S13" t="s">
        <v>13</v>
      </c>
      <c r="T13" t="s">
        <v>87</v>
      </c>
      <c r="U13" t="s">
        <v>87</v>
      </c>
      <c r="V13" t="s">
        <v>13</v>
      </c>
      <c r="W13" t="s">
        <v>87</v>
      </c>
      <c r="X13" t="s">
        <v>13</v>
      </c>
      <c r="Y13" t="s">
        <v>88</v>
      </c>
      <c r="Z13" t="s">
        <v>86</v>
      </c>
      <c r="AA13" t="s">
        <v>13</v>
      </c>
      <c r="AB13" t="s">
        <v>87</v>
      </c>
      <c r="AC13" t="s">
        <v>13</v>
      </c>
      <c r="AD13" t="s">
        <v>88</v>
      </c>
      <c r="AE13" t="s">
        <v>86</v>
      </c>
      <c r="AF13" t="s">
        <v>13</v>
      </c>
      <c r="AG13" t="s">
        <v>87</v>
      </c>
      <c r="AH13">
        <v>166</v>
      </c>
      <c r="AI13">
        <f>COUNTIF(C13:AG13, "D")</f>
        <v>11</v>
      </c>
      <c r="AJ13">
        <f>COUNTIF(C13:AG13, "☆")</f>
        <v>5</v>
      </c>
      <c r="AK13">
        <f>AI13*8.5 + AJ13*14.5</f>
        <v>166</v>
      </c>
    </row>
    <row r="14" spans="1:37" x14ac:dyDescent="0.4">
      <c r="A14" t="s">
        <v>27</v>
      </c>
      <c r="B14">
        <v>1</v>
      </c>
      <c r="C14" t="s">
        <v>86</v>
      </c>
      <c r="D14" t="s">
        <v>13</v>
      </c>
      <c r="E14" t="s">
        <v>87</v>
      </c>
      <c r="F14" t="s">
        <v>88</v>
      </c>
      <c r="G14" t="s">
        <v>86</v>
      </c>
      <c r="H14" t="s">
        <v>13</v>
      </c>
      <c r="I14" t="s">
        <v>87</v>
      </c>
      <c r="J14" t="s">
        <v>87</v>
      </c>
      <c r="K14" t="s">
        <v>87</v>
      </c>
      <c r="L14" t="s">
        <v>13</v>
      </c>
      <c r="M14" t="s">
        <v>88</v>
      </c>
      <c r="N14" t="s">
        <v>86</v>
      </c>
      <c r="O14" t="s">
        <v>13</v>
      </c>
      <c r="P14" t="s">
        <v>88</v>
      </c>
      <c r="Q14" t="s">
        <v>86</v>
      </c>
      <c r="R14" t="s">
        <v>13</v>
      </c>
      <c r="S14" t="s">
        <v>87</v>
      </c>
      <c r="T14" t="s">
        <v>87</v>
      </c>
      <c r="U14" t="s">
        <v>13</v>
      </c>
      <c r="V14" t="s">
        <v>87</v>
      </c>
      <c r="W14" t="s">
        <v>88</v>
      </c>
      <c r="X14" t="s">
        <v>86</v>
      </c>
      <c r="Y14" t="s">
        <v>13</v>
      </c>
      <c r="Z14" t="s">
        <v>88</v>
      </c>
      <c r="AA14" t="s">
        <v>86</v>
      </c>
      <c r="AB14" t="s">
        <v>13</v>
      </c>
      <c r="AC14" t="s">
        <v>87</v>
      </c>
      <c r="AD14" t="s">
        <v>87</v>
      </c>
      <c r="AE14" t="s">
        <v>13</v>
      </c>
      <c r="AF14" t="s">
        <v>88</v>
      </c>
      <c r="AG14" t="s">
        <v>86</v>
      </c>
      <c r="AH14">
        <v>163.5</v>
      </c>
      <c r="AI14">
        <f>COUNTIF(C14:AG14, "D")</f>
        <v>9</v>
      </c>
      <c r="AJ14">
        <f>COUNTIF(C14:AG14, "☆")</f>
        <v>6</v>
      </c>
      <c r="AK14">
        <f>AI14*8.5 + AJ14*14.5</f>
        <v>163.5</v>
      </c>
    </row>
    <row r="15" spans="1:37" x14ac:dyDescent="0.4">
      <c r="A15" t="s">
        <v>38</v>
      </c>
      <c r="B15">
        <v>1</v>
      </c>
      <c r="C15" t="s">
        <v>86</v>
      </c>
      <c r="D15" t="s">
        <v>13</v>
      </c>
      <c r="E15" t="s">
        <v>87</v>
      </c>
      <c r="F15" t="s">
        <v>88</v>
      </c>
      <c r="G15" t="s">
        <v>86</v>
      </c>
      <c r="H15" t="s">
        <v>13</v>
      </c>
      <c r="I15" t="s">
        <v>87</v>
      </c>
      <c r="J15" t="s">
        <v>88</v>
      </c>
      <c r="K15" t="s">
        <v>86</v>
      </c>
      <c r="L15" t="s">
        <v>13</v>
      </c>
      <c r="M15" t="s">
        <v>87</v>
      </c>
      <c r="N15" t="s">
        <v>87</v>
      </c>
      <c r="O15" t="s">
        <v>88</v>
      </c>
      <c r="P15" t="s">
        <v>86</v>
      </c>
      <c r="Q15" t="s">
        <v>13</v>
      </c>
      <c r="R15" t="s">
        <v>87</v>
      </c>
      <c r="S15" t="s">
        <v>87</v>
      </c>
      <c r="T15" t="s">
        <v>88</v>
      </c>
      <c r="U15" t="s">
        <v>86</v>
      </c>
      <c r="V15" t="s">
        <v>13</v>
      </c>
      <c r="W15" t="s">
        <v>87</v>
      </c>
      <c r="X15" t="s">
        <v>87</v>
      </c>
      <c r="Y15" t="s">
        <v>87</v>
      </c>
      <c r="Z15" t="s">
        <v>13</v>
      </c>
      <c r="AA15" t="s">
        <v>13</v>
      </c>
      <c r="AB15" t="s">
        <v>88</v>
      </c>
      <c r="AC15" t="s">
        <v>86</v>
      </c>
      <c r="AD15" t="s">
        <v>13</v>
      </c>
      <c r="AE15" t="s">
        <v>88</v>
      </c>
      <c r="AF15" t="s">
        <v>86</v>
      </c>
      <c r="AG15" t="s">
        <v>13</v>
      </c>
      <c r="AH15">
        <v>163.5</v>
      </c>
      <c r="AI15">
        <f>COUNTIF(C15:AG15, "D")</f>
        <v>9</v>
      </c>
      <c r="AJ15">
        <f>COUNTIF(C15:AG15, "☆")</f>
        <v>6</v>
      </c>
      <c r="AK15">
        <f>AI15*8.5 + AJ15*14.5</f>
        <v>163.5</v>
      </c>
    </row>
    <row r="16" spans="1:37" x14ac:dyDescent="0.4">
      <c r="A16" t="s">
        <v>39</v>
      </c>
      <c r="B16">
        <v>1</v>
      </c>
      <c r="C16" t="s">
        <v>13</v>
      </c>
      <c r="D16" t="s">
        <v>87</v>
      </c>
      <c r="E16" t="s">
        <v>88</v>
      </c>
      <c r="F16" t="s">
        <v>86</v>
      </c>
      <c r="G16" t="s">
        <v>13</v>
      </c>
      <c r="H16" t="s">
        <v>87</v>
      </c>
      <c r="I16" t="s">
        <v>87</v>
      </c>
      <c r="J16" t="s">
        <v>13</v>
      </c>
      <c r="K16" t="s">
        <v>88</v>
      </c>
      <c r="L16" t="s">
        <v>86</v>
      </c>
      <c r="M16" t="s">
        <v>13</v>
      </c>
      <c r="N16" t="s">
        <v>87</v>
      </c>
      <c r="O16" t="s">
        <v>87</v>
      </c>
      <c r="P16" t="s">
        <v>87</v>
      </c>
      <c r="Q16" t="s">
        <v>88</v>
      </c>
      <c r="R16" t="s">
        <v>86</v>
      </c>
      <c r="S16" t="s">
        <v>13</v>
      </c>
      <c r="T16" t="s">
        <v>88</v>
      </c>
      <c r="U16" t="s">
        <v>86</v>
      </c>
      <c r="V16" t="s">
        <v>13</v>
      </c>
      <c r="W16" t="s">
        <v>87</v>
      </c>
      <c r="X16" t="s">
        <v>87</v>
      </c>
      <c r="Y16" t="s">
        <v>13</v>
      </c>
      <c r="Z16" t="s">
        <v>13</v>
      </c>
      <c r="AA16" t="s">
        <v>88</v>
      </c>
      <c r="AB16" t="s">
        <v>86</v>
      </c>
      <c r="AC16" t="s">
        <v>13</v>
      </c>
      <c r="AD16" t="s">
        <v>87</v>
      </c>
      <c r="AE16" t="s">
        <v>87</v>
      </c>
      <c r="AF16" t="s">
        <v>87</v>
      </c>
      <c r="AG16" t="s">
        <v>13</v>
      </c>
      <c r="AH16">
        <v>166</v>
      </c>
      <c r="AI16">
        <f>COUNTIF(C16:AG16, "D")</f>
        <v>11</v>
      </c>
      <c r="AJ16">
        <f>COUNTIF(C16:AG16, "☆")</f>
        <v>5</v>
      </c>
      <c r="AK16">
        <f>AI16*8.5 + AJ16*14.5</f>
        <v>166</v>
      </c>
    </row>
    <row r="17" spans="1:37" x14ac:dyDescent="0.4">
      <c r="A17" t="s">
        <v>40</v>
      </c>
      <c r="B17">
        <v>1</v>
      </c>
      <c r="C17" t="s">
        <v>87</v>
      </c>
      <c r="D17" t="s">
        <v>88</v>
      </c>
      <c r="E17" t="s">
        <v>86</v>
      </c>
      <c r="F17" t="s">
        <v>13</v>
      </c>
      <c r="G17" t="s">
        <v>87</v>
      </c>
      <c r="H17" t="s">
        <v>88</v>
      </c>
      <c r="I17" t="s">
        <v>86</v>
      </c>
      <c r="J17" t="s">
        <v>13</v>
      </c>
      <c r="K17" t="s">
        <v>87</v>
      </c>
      <c r="L17" t="s">
        <v>13</v>
      </c>
      <c r="M17" t="s">
        <v>13</v>
      </c>
      <c r="N17" t="s">
        <v>88</v>
      </c>
      <c r="O17" t="s">
        <v>86</v>
      </c>
      <c r="P17" t="s">
        <v>13</v>
      </c>
      <c r="Q17" t="s">
        <v>87</v>
      </c>
      <c r="R17" t="s">
        <v>87</v>
      </c>
      <c r="S17" t="s">
        <v>88</v>
      </c>
      <c r="T17" t="s">
        <v>86</v>
      </c>
      <c r="U17" t="s">
        <v>13</v>
      </c>
      <c r="V17" t="s">
        <v>87</v>
      </c>
      <c r="W17" t="s">
        <v>13</v>
      </c>
      <c r="X17" t="s">
        <v>88</v>
      </c>
      <c r="Y17" t="s">
        <v>86</v>
      </c>
      <c r="Z17" t="s">
        <v>13</v>
      </c>
      <c r="AA17" t="s">
        <v>87</v>
      </c>
      <c r="AB17" t="s">
        <v>87</v>
      </c>
      <c r="AC17" t="s">
        <v>13</v>
      </c>
      <c r="AD17" t="s">
        <v>88</v>
      </c>
      <c r="AE17" t="s">
        <v>86</v>
      </c>
      <c r="AF17" t="s">
        <v>13</v>
      </c>
      <c r="AG17" t="s">
        <v>87</v>
      </c>
      <c r="AH17">
        <v>163.5</v>
      </c>
      <c r="AI17">
        <f>COUNTIF(C17:AG17, "D")</f>
        <v>9</v>
      </c>
      <c r="AJ17">
        <f>COUNTIF(C17:AG17, "☆")</f>
        <v>6</v>
      </c>
      <c r="AK17">
        <f>AI17*8.5 + AJ17*14.5</f>
        <v>163.5</v>
      </c>
    </row>
    <row r="18" spans="1:37" x14ac:dyDescent="0.4">
      <c r="A18" t="s">
        <v>41</v>
      </c>
      <c r="B18">
        <v>1</v>
      </c>
      <c r="C18" t="s">
        <v>87</v>
      </c>
      <c r="D18" t="s">
        <v>88</v>
      </c>
      <c r="E18" t="s">
        <v>86</v>
      </c>
      <c r="F18" t="s">
        <v>13</v>
      </c>
      <c r="G18" t="s">
        <v>87</v>
      </c>
      <c r="H18" t="s">
        <v>87</v>
      </c>
      <c r="I18" t="s">
        <v>88</v>
      </c>
      <c r="J18" t="s">
        <v>86</v>
      </c>
      <c r="K18" t="s">
        <v>13</v>
      </c>
      <c r="L18" t="s">
        <v>87</v>
      </c>
      <c r="M18" t="s">
        <v>88</v>
      </c>
      <c r="N18" t="s">
        <v>86</v>
      </c>
      <c r="O18" t="s">
        <v>13</v>
      </c>
      <c r="P18" t="s">
        <v>87</v>
      </c>
      <c r="Q18" t="s">
        <v>87</v>
      </c>
      <c r="R18" t="s">
        <v>13</v>
      </c>
      <c r="S18" t="s">
        <v>13</v>
      </c>
      <c r="T18" t="s">
        <v>13</v>
      </c>
      <c r="U18" t="s">
        <v>87</v>
      </c>
      <c r="V18" t="s">
        <v>13</v>
      </c>
      <c r="W18" t="s">
        <v>88</v>
      </c>
      <c r="X18" t="s">
        <v>86</v>
      </c>
      <c r="Y18" t="s">
        <v>13</v>
      </c>
      <c r="Z18" t="s">
        <v>87</v>
      </c>
      <c r="AA18" t="s">
        <v>88</v>
      </c>
      <c r="AB18" t="s">
        <v>86</v>
      </c>
      <c r="AC18" t="s">
        <v>13</v>
      </c>
      <c r="AD18" t="s">
        <v>87</v>
      </c>
      <c r="AE18" t="s">
        <v>87</v>
      </c>
      <c r="AF18" t="s">
        <v>87</v>
      </c>
      <c r="AG18" t="s">
        <v>13</v>
      </c>
      <c r="AH18">
        <v>166</v>
      </c>
      <c r="AI18">
        <f>COUNTIF(C18:AG18, "D")</f>
        <v>11</v>
      </c>
      <c r="AJ18">
        <f>COUNTIF(C18:AG18, "☆")</f>
        <v>5</v>
      </c>
      <c r="AK18">
        <f>AI18*8.5 + AJ18*14.5</f>
        <v>166</v>
      </c>
    </row>
    <row r="19" spans="1:37" x14ac:dyDescent="0.4">
      <c r="A19" t="s">
        <v>42</v>
      </c>
      <c r="B19">
        <v>1</v>
      </c>
      <c r="C19" t="s">
        <v>13</v>
      </c>
      <c r="D19" t="s">
        <v>13</v>
      </c>
      <c r="E19" t="s">
        <v>13</v>
      </c>
      <c r="F19" t="s">
        <v>87</v>
      </c>
      <c r="G19" t="s">
        <v>88</v>
      </c>
      <c r="H19" t="s">
        <v>86</v>
      </c>
      <c r="I19" t="s">
        <v>13</v>
      </c>
      <c r="J19" t="s">
        <v>13</v>
      </c>
      <c r="K19" t="s">
        <v>88</v>
      </c>
      <c r="L19" t="s">
        <v>86</v>
      </c>
      <c r="M19" t="s">
        <v>13</v>
      </c>
      <c r="N19" t="s">
        <v>87</v>
      </c>
      <c r="O19" t="s">
        <v>87</v>
      </c>
      <c r="P19" t="s">
        <v>87</v>
      </c>
      <c r="Q19" t="s">
        <v>13</v>
      </c>
      <c r="R19" t="s">
        <v>88</v>
      </c>
      <c r="S19" t="s">
        <v>86</v>
      </c>
      <c r="T19" t="s">
        <v>13</v>
      </c>
      <c r="U19" t="s">
        <v>88</v>
      </c>
      <c r="V19" t="s">
        <v>86</v>
      </c>
      <c r="W19" t="s">
        <v>13</v>
      </c>
      <c r="X19" t="s">
        <v>87</v>
      </c>
      <c r="Y19" t="s">
        <v>88</v>
      </c>
      <c r="Z19" t="s">
        <v>86</v>
      </c>
      <c r="AA19" t="s">
        <v>13</v>
      </c>
      <c r="AB19" t="s">
        <v>87</v>
      </c>
      <c r="AC19" t="s">
        <v>87</v>
      </c>
      <c r="AD19" t="s">
        <v>87</v>
      </c>
      <c r="AE19" t="s">
        <v>13</v>
      </c>
      <c r="AF19" t="s">
        <v>87</v>
      </c>
      <c r="AG19" t="s">
        <v>88</v>
      </c>
      <c r="AH19">
        <v>163.5</v>
      </c>
      <c r="AI19">
        <f>COUNTIF(C19:AG19, "D")</f>
        <v>9</v>
      </c>
      <c r="AJ19">
        <f>COUNTIF(C19:AG19, "☆")</f>
        <v>6</v>
      </c>
      <c r="AK19">
        <f>AI19*8.5 + AJ19*14.5</f>
        <v>163.5</v>
      </c>
    </row>
    <row r="20" spans="1:37" x14ac:dyDescent="0.4">
      <c r="A20" t="s">
        <v>43</v>
      </c>
      <c r="B20">
        <v>1</v>
      </c>
      <c r="C20" t="s">
        <v>87</v>
      </c>
      <c r="D20" t="s">
        <v>88</v>
      </c>
      <c r="E20" t="s">
        <v>86</v>
      </c>
      <c r="F20" t="s">
        <v>13</v>
      </c>
      <c r="G20" t="s">
        <v>87</v>
      </c>
      <c r="H20" t="s">
        <v>87</v>
      </c>
      <c r="I20" t="s">
        <v>13</v>
      </c>
      <c r="J20" t="s">
        <v>88</v>
      </c>
      <c r="K20" t="s">
        <v>86</v>
      </c>
      <c r="L20" t="s">
        <v>13</v>
      </c>
      <c r="M20" t="s">
        <v>87</v>
      </c>
      <c r="N20" t="s">
        <v>13</v>
      </c>
      <c r="O20" t="s">
        <v>87</v>
      </c>
      <c r="P20" t="s">
        <v>13</v>
      </c>
      <c r="Q20" t="s">
        <v>13</v>
      </c>
      <c r="R20" t="s">
        <v>88</v>
      </c>
      <c r="S20" t="s">
        <v>86</v>
      </c>
      <c r="T20" t="s">
        <v>13</v>
      </c>
      <c r="U20" t="s">
        <v>88</v>
      </c>
      <c r="V20" t="s">
        <v>86</v>
      </c>
      <c r="W20" t="s">
        <v>13</v>
      </c>
      <c r="X20" t="s">
        <v>87</v>
      </c>
      <c r="Y20" t="s">
        <v>87</v>
      </c>
      <c r="Z20" t="s">
        <v>87</v>
      </c>
      <c r="AA20" t="s">
        <v>13</v>
      </c>
      <c r="AB20" t="s">
        <v>13</v>
      </c>
      <c r="AC20" t="s">
        <v>88</v>
      </c>
      <c r="AD20" t="s">
        <v>86</v>
      </c>
      <c r="AE20" t="s">
        <v>13</v>
      </c>
      <c r="AF20" t="s">
        <v>87</v>
      </c>
      <c r="AG20" t="s">
        <v>88</v>
      </c>
      <c r="AH20">
        <v>163.5</v>
      </c>
      <c r="AI20">
        <f>COUNTIF(C20:AG20, "D")</f>
        <v>9</v>
      </c>
      <c r="AJ20">
        <f>COUNTIF(C20:AG20, "☆")</f>
        <v>6</v>
      </c>
      <c r="AK20">
        <f>AI20*8.5 + AJ20*14.5</f>
        <v>163.5</v>
      </c>
    </row>
    <row r="21" spans="1:37" x14ac:dyDescent="0.4">
      <c r="A21" t="s">
        <v>44</v>
      </c>
      <c r="B21">
        <v>1</v>
      </c>
      <c r="C21" t="s">
        <v>87</v>
      </c>
      <c r="D21" t="s">
        <v>13</v>
      </c>
      <c r="E21" t="s">
        <v>88</v>
      </c>
      <c r="F21" t="s">
        <v>86</v>
      </c>
      <c r="G21" t="s">
        <v>13</v>
      </c>
      <c r="H21" t="s">
        <v>88</v>
      </c>
      <c r="I21" t="s">
        <v>86</v>
      </c>
      <c r="J21" t="s">
        <v>13</v>
      </c>
      <c r="K21" t="s">
        <v>87</v>
      </c>
      <c r="L21" t="s">
        <v>87</v>
      </c>
      <c r="M21" t="s">
        <v>13</v>
      </c>
      <c r="N21" t="s">
        <v>87</v>
      </c>
      <c r="O21" t="s">
        <v>88</v>
      </c>
      <c r="P21" t="s">
        <v>86</v>
      </c>
      <c r="Q21" t="s">
        <v>13</v>
      </c>
      <c r="R21" t="s">
        <v>87</v>
      </c>
      <c r="S21" t="s">
        <v>87</v>
      </c>
      <c r="T21" t="s">
        <v>87</v>
      </c>
      <c r="U21" t="s">
        <v>88</v>
      </c>
      <c r="V21" t="s">
        <v>86</v>
      </c>
      <c r="W21" t="s">
        <v>13</v>
      </c>
      <c r="X21" t="s">
        <v>87</v>
      </c>
      <c r="Y21" t="s">
        <v>13</v>
      </c>
      <c r="Z21" t="s">
        <v>87</v>
      </c>
      <c r="AA21" t="s">
        <v>13</v>
      </c>
      <c r="AB21" t="s">
        <v>88</v>
      </c>
      <c r="AC21" t="s">
        <v>86</v>
      </c>
      <c r="AD21" t="s">
        <v>13</v>
      </c>
      <c r="AE21" t="s">
        <v>87</v>
      </c>
      <c r="AF21" t="s">
        <v>13</v>
      </c>
      <c r="AG21" t="s">
        <v>87</v>
      </c>
      <c r="AH21">
        <v>166</v>
      </c>
      <c r="AI21">
        <f>COUNTIF(C21:AG21, "D")</f>
        <v>11</v>
      </c>
      <c r="AJ21">
        <f>COUNTIF(C21:AG21, "☆")</f>
        <v>5</v>
      </c>
      <c r="AK21">
        <f>AI21*8.5 + AJ21*14.5</f>
        <v>166</v>
      </c>
    </row>
    <row r="22" spans="1:37" x14ac:dyDescent="0.4">
      <c r="A22" t="s">
        <v>45</v>
      </c>
      <c r="C22" t="s">
        <v>88</v>
      </c>
      <c r="D22" t="s">
        <v>86</v>
      </c>
      <c r="E22" t="s">
        <v>13</v>
      </c>
      <c r="F22" t="s">
        <v>87</v>
      </c>
      <c r="G22" t="s">
        <v>87</v>
      </c>
      <c r="H22" t="s">
        <v>13</v>
      </c>
      <c r="I22" t="s">
        <v>87</v>
      </c>
      <c r="J22" t="s">
        <v>87</v>
      </c>
      <c r="K22" t="s">
        <v>13</v>
      </c>
      <c r="L22" t="s">
        <v>88</v>
      </c>
      <c r="M22" t="s">
        <v>86</v>
      </c>
      <c r="N22" t="s">
        <v>13</v>
      </c>
      <c r="O22" t="s">
        <v>13</v>
      </c>
      <c r="P22" t="s">
        <v>88</v>
      </c>
      <c r="Q22" t="s">
        <v>86</v>
      </c>
      <c r="R22" t="s">
        <v>13</v>
      </c>
      <c r="S22" t="s">
        <v>87</v>
      </c>
      <c r="T22" t="s">
        <v>87</v>
      </c>
      <c r="U22" t="s">
        <v>13</v>
      </c>
      <c r="V22" t="s">
        <v>87</v>
      </c>
      <c r="W22" t="s">
        <v>88</v>
      </c>
      <c r="X22" t="s">
        <v>86</v>
      </c>
      <c r="Y22" t="s">
        <v>13</v>
      </c>
      <c r="Z22" t="s">
        <v>88</v>
      </c>
      <c r="AA22" t="s">
        <v>86</v>
      </c>
      <c r="AB22" t="s">
        <v>13</v>
      </c>
      <c r="AC22" t="s">
        <v>87</v>
      </c>
      <c r="AD22" t="s">
        <v>87</v>
      </c>
      <c r="AE22" t="s">
        <v>88</v>
      </c>
      <c r="AF22" t="s">
        <v>86</v>
      </c>
      <c r="AG22" t="s">
        <v>13</v>
      </c>
      <c r="AH22">
        <v>163.5</v>
      </c>
      <c r="AI22">
        <f>COUNTIF(C22:AG22, "D")</f>
        <v>9</v>
      </c>
      <c r="AJ22">
        <f>COUNTIF(C22:AG22, "☆")</f>
        <v>6</v>
      </c>
      <c r="AK22">
        <f>AI22*8.5 + AJ22*14.5</f>
        <v>163.5</v>
      </c>
    </row>
    <row r="23" spans="1:37" x14ac:dyDescent="0.4">
      <c r="A23" t="s">
        <v>46</v>
      </c>
      <c r="C23" t="s">
        <v>87</v>
      </c>
      <c r="D23" t="s">
        <v>87</v>
      </c>
      <c r="E23" t="s">
        <v>13</v>
      </c>
      <c r="F23" t="s">
        <v>88</v>
      </c>
      <c r="G23" t="s">
        <v>86</v>
      </c>
      <c r="H23" t="s">
        <v>13</v>
      </c>
      <c r="I23" t="s">
        <v>88</v>
      </c>
      <c r="J23" t="s">
        <v>86</v>
      </c>
      <c r="K23" t="s">
        <v>13</v>
      </c>
      <c r="L23" t="s">
        <v>87</v>
      </c>
      <c r="M23" t="s">
        <v>13</v>
      </c>
      <c r="N23" t="s">
        <v>87</v>
      </c>
      <c r="O23" t="s">
        <v>13</v>
      </c>
      <c r="P23" t="s">
        <v>87</v>
      </c>
      <c r="Q23" t="s">
        <v>88</v>
      </c>
      <c r="R23" t="s">
        <v>86</v>
      </c>
      <c r="S23" t="s">
        <v>13</v>
      </c>
      <c r="T23" t="s">
        <v>88</v>
      </c>
      <c r="U23" t="s">
        <v>86</v>
      </c>
      <c r="V23" t="s">
        <v>13</v>
      </c>
      <c r="W23" t="s">
        <v>87</v>
      </c>
      <c r="X23" t="s">
        <v>87</v>
      </c>
      <c r="Y23" t="s">
        <v>13</v>
      </c>
      <c r="Z23" t="s">
        <v>87</v>
      </c>
      <c r="AA23" t="s">
        <v>88</v>
      </c>
      <c r="AB23" t="s">
        <v>86</v>
      </c>
      <c r="AC23" t="s">
        <v>13</v>
      </c>
      <c r="AD23" t="s">
        <v>87</v>
      </c>
      <c r="AE23" t="s">
        <v>87</v>
      </c>
      <c r="AF23" t="s">
        <v>87</v>
      </c>
      <c r="AG23" t="s">
        <v>13</v>
      </c>
      <c r="AH23">
        <v>166</v>
      </c>
      <c r="AI23">
        <f>COUNTIF(C23:AG23, "D")</f>
        <v>11</v>
      </c>
      <c r="AJ23">
        <f>COUNTIF(C23:AG23, "☆")</f>
        <v>5</v>
      </c>
      <c r="AK23">
        <f>AI23*8.5 + AJ23*14.5</f>
        <v>166</v>
      </c>
    </row>
    <row r="24" spans="1:37" x14ac:dyDescent="0.4">
      <c r="A24" t="s">
        <v>47</v>
      </c>
      <c r="C24" t="s">
        <v>87</v>
      </c>
      <c r="D24" t="s">
        <v>87</v>
      </c>
      <c r="E24" t="s">
        <v>88</v>
      </c>
      <c r="F24" t="s">
        <v>86</v>
      </c>
      <c r="G24" t="s">
        <v>13</v>
      </c>
      <c r="H24" t="s">
        <v>87</v>
      </c>
      <c r="I24" t="s">
        <v>88</v>
      </c>
      <c r="J24" t="s">
        <v>86</v>
      </c>
      <c r="K24" t="s">
        <v>13</v>
      </c>
      <c r="L24" t="s">
        <v>87</v>
      </c>
      <c r="M24" t="s">
        <v>87</v>
      </c>
      <c r="N24" t="s">
        <v>13</v>
      </c>
      <c r="O24" t="s">
        <v>87</v>
      </c>
      <c r="P24" t="s">
        <v>13</v>
      </c>
      <c r="Q24" t="s">
        <v>13</v>
      </c>
      <c r="R24" t="s">
        <v>13</v>
      </c>
      <c r="S24" t="s">
        <v>88</v>
      </c>
      <c r="T24" t="s">
        <v>86</v>
      </c>
      <c r="U24" t="s">
        <v>13</v>
      </c>
      <c r="V24" t="s">
        <v>87</v>
      </c>
      <c r="W24" t="s">
        <v>87</v>
      </c>
      <c r="X24" t="s">
        <v>88</v>
      </c>
      <c r="Y24" t="s">
        <v>86</v>
      </c>
      <c r="Z24" t="s">
        <v>13</v>
      </c>
      <c r="AA24" t="s">
        <v>87</v>
      </c>
      <c r="AB24" t="s">
        <v>13</v>
      </c>
      <c r="AC24" t="s">
        <v>88</v>
      </c>
      <c r="AD24" t="s">
        <v>86</v>
      </c>
      <c r="AE24" t="s">
        <v>13</v>
      </c>
      <c r="AF24" t="s">
        <v>88</v>
      </c>
      <c r="AG24" t="s">
        <v>86</v>
      </c>
      <c r="AH24">
        <v>163.5</v>
      </c>
      <c r="AI24">
        <f>COUNTIF(C24:AG24, "D")</f>
        <v>9</v>
      </c>
      <c r="AJ24">
        <f>COUNTIF(C24:AG24, "☆")</f>
        <v>6</v>
      </c>
      <c r="AK24">
        <f>AI24*8.5 + AJ24*14.5</f>
        <v>163.5</v>
      </c>
    </row>
    <row r="25" spans="1:37" x14ac:dyDescent="0.4">
      <c r="A25" t="s">
        <v>48</v>
      </c>
      <c r="C25" t="s">
        <v>88</v>
      </c>
      <c r="D25" t="s">
        <v>86</v>
      </c>
      <c r="E25" t="s">
        <v>13</v>
      </c>
      <c r="F25" t="s">
        <v>87</v>
      </c>
      <c r="G25" t="s">
        <v>88</v>
      </c>
      <c r="H25" t="s">
        <v>86</v>
      </c>
      <c r="I25" t="s">
        <v>13</v>
      </c>
      <c r="J25" t="s">
        <v>87</v>
      </c>
      <c r="K25" t="s">
        <v>87</v>
      </c>
      <c r="L25" t="s">
        <v>13</v>
      </c>
      <c r="M25" t="s">
        <v>88</v>
      </c>
      <c r="N25" t="s">
        <v>86</v>
      </c>
      <c r="O25" t="s">
        <v>13</v>
      </c>
      <c r="P25" t="s">
        <v>87</v>
      </c>
      <c r="Q25" t="s">
        <v>87</v>
      </c>
      <c r="R25" t="s">
        <v>13</v>
      </c>
      <c r="S25" t="s">
        <v>88</v>
      </c>
      <c r="T25" t="s">
        <v>86</v>
      </c>
      <c r="U25" t="s">
        <v>13</v>
      </c>
      <c r="V25" t="s">
        <v>87</v>
      </c>
      <c r="W25" t="s">
        <v>13</v>
      </c>
      <c r="X25" t="s">
        <v>13</v>
      </c>
      <c r="Y25" t="s">
        <v>88</v>
      </c>
      <c r="Z25" t="s">
        <v>86</v>
      </c>
      <c r="AA25" t="s">
        <v>13</v>
      </c>
      <c r="AB25" t="s">
        <v>87</v>
      </c>
      <c r="AC25" t="s">
        <v>87</v>
      </c>
      <c r="AD25" t="s">
        <v>88</v>
      </c>
      <c r="AE25" t="s">
        <v>86</v>
      </c>
      <c r="AF25" t="s">
        <v>13</v>
      </c>
      <c r="AG25" t="s">
        <v>87</v>
      </c>
      <c r="AH25">
        <v>163.5</v>
      </c>
      <c r="AI25">
        <f>COUNTIF(C25:AG25, "D")</f>
        <v>9</v>
      </c>
      <c r="AJ25">
        <f>COUNTIF(C25:AG25, "☆")</f>
        <v>6</v>
      </c>
      <c r="AK25">
        <f>AI25*8.5 + AJ25*14.5</f>
        <v>163.5</v>
      </c>
    </row>
    <row r="26" spans="1:37" x14ac:dyDescent="0.4">
      <c r="A26" t="s">
        <v>50</v>
      </c>
      <c r="C26" t="s">
        <v>87</v>
      </c>
      <c r="D26" t="s">
        <v>87</v>
      </c>
      <c r="E26" t="s">
        <v>87</v>
      </c>
      <c r="F26" t="s">
        <v>13</v>
      </c>
      <c r="G26" t="s">
        <v>87</v>
      </c>
      <c r="H26" t="s">
        <v>87</v>
      </c>
      <c r="I26" t="s">
        <v>87</v>
      </c>
      <c r="J26" t="s">
        <v>13</v>
      </c>
      <c r="K26" t="s">
        <v>87</v>
      </c>
      <c r="L26" t="s">
        <v>87</v>
      </c>
      <c r="M26" t="s">
        <v>87</v>
      </c>
      <c r="N26" t="s">
        <v>13</v>
      </c>
      <c r="O26" t="s">
        <v>87</v>
      </c>
      <c r="P26" t="s">
        <v>87</v>
      </c>
      <c r="Q26" t="s">
        <v>87</v>
      </c>
      <c r="R26" t="s">
        <v>13</v>
      </c>
      <c r="S26" t="s">
        <v>87</v>
      </c>
      <c r="T26" t="s">
        <v>87</v>
      </c>
      <c r="U26" t="s">
        <v>87</v>
      </c>
      <c r="V26" t="s">
        <v>13</v>
      </c>
      <c r="W26" t="s">
        <v>87</v>
      </c>
      <c r="X26" t="s">
        <v>13</v>
      </c>
      <c r="Y26" t="s">
        <v>87</v>
      </c>
      <c r="Z26" t="s">
        <v>13</v>
      </c>
      <c r="AA26" t="s">
        <v>87</v>
      </c>
      <c r="AB26" t="s">
        <v>13</v>
      </c>
      <c r="AC26" t="s">
        <v>13</v>
      </c>
      <c r="AD26" t="s">
        <v>13</v>
      </c>
      <c r="AE26" t="s">
        <v>87</v>
      </c>
      <c r="AF26" t="s">
        <v>13</v>
      </c>
      <c r="AG26" t="s">
        <v>87</v>
      </c>
      <c r="AH26">
        <v>170</v>
      </c>
      <c r="AI26">
        <f>COUNTIF(C26:AG26, "D")</f>
        <v>20</v>
      </c>
      <c r="AJ26">
        <f>COUNTIF(C26:AG26, "☆")</f>
        <v>0</v>
      </c>
      <c r="AK26">
        <f>AI26*8.5 + AJ26*14.5</f>
        <v>170</v>
      </c>
    </row>
    <row r="27" spans="1:37" x14ac:dyDescent="0.4">
      <c r="A27" t="s">
        <v>92</v>
      </c>
      <c r="C27">
        <f>COUNTIF(C3:C26, "D")</f>
        <v>9</v>
      </c>
      <c r="D27">
        <f>COUNTIF(D3:D26, "D")</f>
        <v>9</v>
      </c>
      <c r="E27">
        <f>COUNTIF(E3:E26, "D")</f>
        <v>9</v>
      </c>
      <c r="F27">
        <f>COUNTIF(F3:F26, "D")</f>
        <v>9</v>
      </c>
      <c r="G27">
        <f>COUNTIF(G3:G26, "D")</f>
        <v>9</v>
      </c>
      <c r="H27">
        <f>COUNTIF(H3:H26, "D")</f>
        <v>8</v>
      </c>
      <c r="I27">
        <f>COUNTIF(I3:I26, "D")</f>
        <v>9</v>
      </c>
      <c r="J27">
        <f>COUNTIF(J3:J26, "D")</f>
        <v>9</v>
      </c>
      <c r="K27">
        <f>COUNTIF(K3:K26, "D")</f>
        <v>9</v>
      </c>
      <c r="L27">
        <f>COUNTIF(L3:L26, "D")</f>
        <v>9</v>
      </c>
      <c r="M27">
        <f>COUNTIF(M3:M26, "D")</f>
        <v>9</v>
      </c>
      <c r="N27">
        <f>COUNTIF(N3:N26, "D")</f>
        <v>8</v>
      </c>
      <c r="O27">
        <f>COUNTIF(O3:O26, "D")</f>
        <v>9</v>
      </c>
      <c r="P27">
        <f>COUNTIF(P3:P26, "D")</f>
        <v>9</v>
      </c>
      <c r="Q27">
        <f>COUNTIF(Q3:Q26, "D")</f>
        <v>7</v>
      </c>
      <c r="R27">
        <f>COUNTIF(R3:R26, "D")</f>
        <v>7</v>
      </c>
      <c r="S27">
        <f>COUNTIF(S3:S26, "D")</f>
        <v>8</v>
      </c>
      <c r="T27">
        <f>COUNTIF(T3:T26, "D")</f>
        <v>8</v>
      </c>
      <c r="U27">
        <f>COUNTIF(U3:U26, "D")</f>
        <v>8</v>
      </c>
      <c r="V27">
        <f>COUNTIF(V3:V26, "D")</f>
        <v>7</v>
      </c>
      <c r="W27">
        <f>COUNTIF(W3:W26, "D")</f>
        <v>8</v>
      </c>
      <c r="X27">
        <f>COUNTIF(X3:X26, "D")</f>
        <v>8</v>
      </c>
      <c r="Y27">
        <f>COUNTIF(Y3:Y26, "D")</f>
        <v>8</v>
      </c>
      <c r="Z27">
        <f>COUNTIF(Z3:Z26, "D")</f>
        <v>7</v>
      </c>
      <c r="AA27">
        <f>COUNTIF(AA3:AA26, "D")</f>
        <v>7</v>
      </c>
      <c r="AB27">
        <f>COUNTIF(AB3:AB26, "D")</f>
        <v>7</v>
      </c>
      <c r="AC27">
        <f>COUNTIF(AC3:AC26, "D")</f>
        <v>7</v>
      </c>
      <c r="AD27">
        <f>COUNTIF(AD3:AD26, "D")</f>
        <v>7</v>
      </c>
      <c r="AE27">
        <f>COUNTIF(AE3:AE26, "D")</f>
        <v>8</v>
      </c>
      <c r="AF27">
        <f>COUNTIF(AF3:AF26, "D")</f>
        <v>7</v>
      </c>
      <c r="AG27">
        <f>COUNTIF(AG3:AG26, "D")</f>
        <v>7</v>
      </c>
    </row>
    <row r="28" spans="1:37" x14ac:dyDescent="0.4">
      <c r="A28" t="s">
        <v>93</v>
      </c>
      <c r="C28">
        <f>COUNTIF(C3:C26, "☆")</f>
        <v>4</v>
      </c>
      <c r="D28">
        <f>COUNTIF(D3:D26, "☆")</f>
        <v>4</v>
      </c>
      <c r="E28">
        <f>COUNTIF(E3:E26, "☆")</f>
        <v>4</v>
      </c>
      <c r="F28">
        <f>COUNTIF(F3:F26, "☆")</f>
        <v>4</v>
      </c>
      <c r="G28">
        <f>COUNTIF(G3:G26, "☆")</f>
        <v>4</v>
      </c>
      <c r="H28">
        <f>COUNTIF(H3:H26, "☆")</f>
        <v>4</v>
      </c>
      <c r="I28">
        <f>COUNTIF(I3:I26, "☆")</f>
        <v>4</v>
      </c>
      <c r="J28">
        <f>COUNTIF(J3:J26, "☆")</f>
        <v>4</v>
      </c>
      <c r="K28">
        <f>COUNTIF(K3:K26, "☆")</f>
        <v>4</v>
      </c>
      <c r="L28">
        <f>COUNTIF(L3:L26, "☆")</f>
        <v>4</v>
      </c>
      <c r="M28">
        <f>COUNTIF(M3:M26, "☆")</f>
        <v>4</v>
      </c>
      <c r="N28">
        <f>COUNTIF(N3:N26, "☆")</f>
        <v>4</v>
      </c>
      <c r="O28">
        <f>COUNTIF(O3:O26, "☆")</f>
        <v>4</v>
      </c>
      <c r="P28">
        <f>COUNTIF(P3:P26, "☆")</f>
        <v>4</v>
      </c>
      <c r="Q28">
        <f>COUNTIF(Q3:Q26, "☆")</f>
        <v>4</v>
      </c>
      <c r="R28">
        <f>COUNTIF(R3:R26, "☆")</f>
        <v>4</v>
      </c>
      <c r="S28">
        <f>COUNTIF(S3:S26, "☆")</f>
        <v>4</v>
      </c>
      <c r="T28">
        <f>COUNTIF(T3:T26, "☆")</f>
        <v>4</v>
      </c>
      <c r="U28">
        <f>COUNTIF(U3:U26, "☆")</f>
        <v>4</v>
      </c>
      <c r="V28">
        <f>COUNTIF(V3:V26, "☆")</f>
        <v>4</v>
      </c>
      <c r="W28">
        <f>COUNTIF(W3:W26, "☆")</f>
        <v>4</v>
      </c>
      <c r="X28">
        <f>COUNTIF(X3:X26, "☆")</f>
        <v>4</v>
      </c>
      <c r="Y28">
        <f>COUNTIF(Y3:Y26, "☆")</f>
        <v>4</v>
      </c>
      <c r="Z28">
        <f>COUNTIF(Z3:Z26, "☆")</f>
        <v>4</v>
      </c>
      <c r="AA28">
        <f>COUNTIF(AA3:AA26, "☆")</f>
        <v>4</v>
      </c>
      <c r="AB28">
        <f>COUNTIF(AB3:AB26, "☆")</f>
        <v>4</v>
      </c>
      <c r="AC28">
        <f>COUNTIF(AC3:AC26, "☆")</f>
        <v>4</v>
      </c>
      <c r="AD28">
        <f>COUNTIF(AD3:AD26, "☆")</f>
        <v>4</v>
      </c>
      <c r="AE28">
        <f>COUNTIF(AE3:AE26, "☆")</f>
        <v>4</v>
      </c>
      <c r="AF28">
        <f>COUNTIF(AF3:AF26, "☆")</f>
        <v>4</v>
      </c>
      <c r="AG28">
        <f>COUNTIF(AG3:AG26, "☆")</f>
        <v>4</v>
      </c>
    </row>
    <row r="29" spans="1:37" x14ac:dyDescent="0.4">
      <c r="A29" t="s">
        <v>94</v>
      </c>
      <c r="C29">
        <f>COUNTIF(C3:C26, "X")</f>
        <v>8</v>
      </c>
      <c r="D29">
        <f>COUNTIF(D3:D26, "X")</f>
        <v>7</v>
      </c>
      <c r="E29">
        <f>COUNTIF(E3:E26, "X")</f>
        <v>7</v>
      </c>
      <c r="F29">
        <f>COUNTIF(F3:F26, "X")</f>
        <v>7</v>
      </c>
      <c r="G29">
        <f>COUNTIF(G3:G26, "X")</f>
        <v>7</v>
      </c>
      <c r="H29">
        <f>COUNTIF(H3:H26, "X")</f>
        <v>8</v>
      </c>
      <c r="I29">
        <f>COUNTIF(I3:I26, "X")</f>
        <v>7</v>
      </c>
      <c r="J29">
        <f>COUNTIF(J3:J26, "X")</f>
        <v>7</v>
      </c>
      <c r="K29">
        <f>COUNTIF(K3:K26, "X")</f>
        <v>7</v>
      </c>
      <c r="L29">
        <f>COUNTIF(L3:L26, "X")</f>
        <v>7</v>
      </c>
      <c r="M29">
        <f>COUNTIF(M3:M26, "X")</f>
        <v>7</v>
      </c>
      <c r="N29">
        <f>COUNTIF(N3:N26, "X")</f>
        <v>8</v>
      </c>
      <c r="O29">
        <f>COUNTIF(O3:O26, "X")</f>
        <v>7</v>
      </c>
      <c r="P29">
        <f>COUNTIF(P3:P26, "X")</f>
        <v>7</v>
      </c>
      <c r="Q29">
        <f>COUNTIF(Q3:Q26, "X")</f>
        <v>9</v>
      </c>
      <c r="R29">
        <f>COUNTIF(R3:R26, "X")</f>
        <v>9</v>
      </c>
      <c r="S29">
        <f>COUNTIF(S3:S26, "X")</f>
        <v>8</v>
      </c>
      <c r="T29">
        <f>COUNTIF(T3:T26, "X")</f>
        <v>8</v>
      </c>
      <c r="U29">
        <f>COUNTIF(U3:U26, "X")</f>
        <v>8</v>
      </c>
      <c r="V29">
        <f>COUNTIF(V3:V26, "X")</f>
        <v>9</v>
      </c>
      <c r="W29">
        <f>COUNTIF(W3:W26, "X")</f>
        <v>8</v>
      </c>
      <c r="X29">
        <f>COUNTIF(X3:X26, "X")</f>
        <v>8</v>
      </c>
      <c r="Y29">
        <f>COUNTIF(Y3:Y26, "X")</f>
        <v>8</v>
      </c>
      <c r="Z29">
        <f>COUNTIF(Z3:Z26, "X")</f>
        <v>9</v>
      </c>
      <c r="AA29">
        <f>COUNTIF(AA3:AA26, "X")</f>
        <v>9</v>
      </c>
      <c r="AB29">
        <f>COUNTIF(AB3:AB26, "X")</f>
        <v>9</v>
      </c>
      <c r="AC29">
        <f>COUNTIF(AC3:AC26, "X")</f>
        <v>9</v>
      </c>
      <c r="AD29">
        <f>COUNTIF(AD3:AD26, "X")</f>
        <v>9</v>
      </c>
      <c r="AE29">
        <f>COUNTIF(AE3:AE26, "X")</f>
        <v>8</v>
      </c>
      <c r="AF29">
        <f>COUNTIF(AF3:AF26, "X")</f>
        <v>9</v>
      </c>
      <c r="AG29">
        <f>COUNTIF(AG3:AG26, "X")</f>
        <v>9</v>
      </c>
    </row>
    <row r="30" spans="1:37" x14ac:dyDescent="0.4">
      <c r="A30" t="s">
        <v>95</v>
      </c>
      <c r="C30">
        <f>SUMPRODUCT(--(C3:C26="D"),--((B3:B26=2) + (B3:B26=3) + (B3:B26=4)))</f>
        <v>2</v>
      </c>
      <c r="D30">
        <f>SUMPRODUCT(--(D3:D26="D"),--((B3:B26=2) + (B3:B26=3) + (B3:B26=4)))</f>
        <v>4</v>
      </c>
      <c r="E30">
        <f>SUMPRODUCT(--(E3:E26="D"),--((B3:B26=2) + (B3:B26=3) + (B3:B26=4)))</f>
        <v>6</v>
      </c>
      <c r="F30">
        <f>SUMPRODUCT(--(F3:F26="D"),--((B3:B26=2) + (B3:B26=3) + (B3:B26=4)))</f>
        <v>5</v>
      </c>
      <c r="G30">
        <f>SUMPRODUCT(--(G3:G26="D"),--((B3:B26=2) + (B3:B26=3) + (B3:B26=4)))</f>
        <v>4</v>
      </c>
      <c r="H30">
        <f>SUMPRODUCT(--(H3:H26="D"),--((B3:B26=2) + (B3:B26=3) + (B3:B26=4)))</f>
        <v>3</v>
      </c>
      <c r="I30">
        <f>SUMPRODUCT(--(I3:I26="D"),--((B3:B26=2) + (B3:B26=3) + (B3:B26=4)))</f>
        <v>4</v>
      </c>
      <c r="J30">
        <f>SUMPRODUCT(--(J3:J26="D"),--((B3:B26=2) + (B3:B26=3) + (B3:B26=4)))</f>
        <v>6</v>
      </c>
      <c r="K30">
        <f>SUMPRODUCT(--(K3:K26="D"),--((B3:B26=2) + (B3:B26=3) + (B3:B26=4)))</f>
        <v>3</v>
      </c>
      <c r="L30">
        <f>SUMPRODUCT(--(L3:L26="D"),--((B3:B26=2) + (B3:B26=3) + (B3:B26=4)))</f>
        <v>4</v>
      </c>
      <c r="M30">
        <f>SUMPRODUCT(--(M3:M26="D"),--((B3:B26=2) + (B3:B26=3) + (B3:B26=4)))</f>
        <v>5</v>
      </c>
      <c r="N30">
        <f>SUMPRODUCT(--(N3:N26="D"),--((B3:B26=2) + (B3:B26=3) + (B3:B26=4)))</f>
        <v>3</v>
      </c>
      <c r="O30">
        <f>SUMPRODUCT(--(O3:O26="D"),--((B3:B26=2) + (B3:B26=3) + (B3:B26=4)))</f>
        <v>3</v>
      </c>
      <c r="P30">
        <f>SUMPRODUCT(--(P3:P26="D"),--((B3:B26=2) + (B3:B26=3) + (B3:B26=4)))</f>
        <v>2</v>
      </c>
      <c r="Q30">
        <f>SUMPRODUCT(--(Q3:Q26="D"),--((B3:B26=2) + (B3:B26=3) + (B3:B26=4)))</f>
        <v>3</v>
      </c>
      <c r="R30">
        <f>SUMPRODUCT(--(R3:R26="D"),--((B3:B26=2) + (B3:B26=3) + (B3:B26=4)))</f>
        <v>4</v>
      </c>
      <c r="S30">
        <f>SUMPRODUCT(--(S3:S26="D"),--((B3:B26=2) + (B3:B26=3) + (B3:B26=4)))</f>
        <v>3</v>
      </c>
      <c r="T30">
        <f>SUMPRODUCT(--(T3:T26="D"),--((B3:B26=2) + (B3:B26=3) + (B3:B26=4)))</f>
        <v>4</v>
      </c>
      <c r="U30">
        <f>SUMPRODUCT(--(U3:U26="D"),--((B3:B26=2) + (B3:B26=3) + (B3:B26=4)))</f>
        <v>5</v>
      </c>
      <c r="V30">
        <f>SUMPRODUCT(--(V3:V26="D"),--((B3:B26=2) + (B3:B26=3) + (B3:B26=4)))</f>
        <v>2</v>
      </c>
      <c r="W30">
        <f>SUMPRODUCT(--(W3:W26="D"),--((B3:B26=2) + (B3:B26=3) + (B3:B26=4)))</f>
        <v>3</v>
      </c>
      <c r="X30">
        <f>SUMPRODUCT(--(X3:X26="D"),--((B3:B26=2) + (B3:B26=3) + (B3:B26=4)))</f>
        <v>2</v>
      </c>
      <c r="Y30">
        <f>SUMPRODUCT(--(Y3:Y26="D"),--((B3:B26=2) + (B3:B26=3) + (B3:B26=4)))</f>
        <v>5</v>
      </c>
      <c r="Z30">
        <f>SUMPRODUCT(--(Z3:Z26="D"),--((B3:B26=2) + (B3:B26=3) + (B3:B26=4)))</f>
        <v>3</v>
      </c>
      <c r="AA30">
        <f>SUMPRODUCT(--(AA3:AA26="D"),--((B3:B26=2) + (B3:B26=3) + (B3:B26=4)))</f>
        <v>4</v>
      </c>
      <c r="AB30">
        <f>SUMPRODUCT(--(AB3:AB26="D"),--((B3:B26=2) + (B3:B26=3) + (B3:B26=4)))</f>
        <v>3</v>
      </c>
      <c r="AC30">
        <f>SUMPRODUCT(--(AC3:AC26="D"),--((B3:B26=2) + (B3:B26=3) + (B3:B26=4)))</f>
        <v>2</v>
      </c>
      <c r="AD30">
        <f>SUMPRODUCT(--(AD3:AD26="D"),--((B3:B26=2) + (B3:B26=3) + (B3:B26=4)))</f>
        <v>1</v>
      </c>
      <c r="AE30">
        <f>SUMPRODUCT(--(AE3:AE26="D"),--((B3:B26=2) + (B3:B26=3) + (B3:B26=4)))</f>
        <v>3</v>
      </c>
      <c r="AF30">
        <f>SUMPRODUCT(--(AF3:AF26="D"),--((B3:B26=2) + (B3:B26=3) + (B3:B26=4)))</f>
        <v>2</v>
      </c>
      <c r="AG30">
        <f>SUMPRODUCT(--(AG3:AG26="D"),--((B3:B26=2) + (B3:B26=3) + (B3:B26=4)))</f>
        <v>2</v>
      </c>
    </row>
    <row r="31" spans="1:37" x14ac:dyDescent="0.4">
      <c r="A31" t="s">
        <v>96</v>
      </c>
      <c r="C31">
        <f>SUMPRODUCT(--(C3:C26="☆"),--((B3:B26=2) + (B3:B26=3) + (B3:B26=4)))</f>
        <v>2</v>
      </c>
      <c r="D31">
        <f>SUMPRODUCT(--(D3:D26="☆"),--((B3:B26=2) + (B3:B26=3) + (B3:B26=4)))</f>
        <v>1</v>
      </c>
      <c r="E31">
        <f>SUMPRODUCT(--(E3:E26="☆"),--((B3:B26=2) + (B3:B26=3) + (B3:B26=4)))</f>
        <v>1</v>
      </c>
      <c r="F31">
        <f>SUMPRODUCT(--(F3:F26="☆"),--((B3:B26=2) + (B3:B26=3) + (B3:B26=4)))</f>
        <v>1</v>
      </c>
      <c r="G31">
        <f>SUMPRODUCT(--(G3:G26="☆"),--((B3:B26=2) + (B3:B26=3) + (B3:B26=4)))</f>
        <v>2</v>
      </c>
      <c r="H31">
        <f>SUMPRODUCT(--(H3:H26="☆"),--((B3:B26=2) + (B3:B26=3) + (B3:B26=4)))</f>
        <v>1</v>
      </c>
      <c r="I31">
        <f>SUMPRODUCT(--(I3:I26="☆"),--((B3:B26=2) + (B3:B26=3) + (B3:B26=4)))</f>
        <v>1</v>
      </c>
      <c r="J31">
        <f>SUMPRODUCT(--(J3:J26="☆"),--((B3:B26=2) + (B3:B26=3) + (B3:B26=4)))</f>
        <v>2</v>
      </c>
      <c r="K31">
        <f>SUMPRODUCT(--(K3:K26="☆"),--((B3:B26=2) + (B3:B26=3) + (B3:B26=4)))</f>
        <v>2</v>
      </c>
      <c r="L31">
        <f>SUMPRODUCT(--(L3:L26="☆"),--((B3:B26=2) + (B3:B26=3) + (B3:B26=4)))</f>
        <v>2</v>
      </c>
      <c r="M31">
        <f>SUMPRODUCT(--(M3:M26="☆"),--((B3:B26=2) + (B3:B26=3) + (B3:B26=4)))</f>
        <v>1</v>
      </c>
      <c r="N31">
        <f>SUMPRODUCT(--(N3:N26="☆"),--((B3:B26=2) + (B3:B26=3) + (B3:B26=4)))</f>
        <v>3</v>
      </c>
      <c r="O31">
        <f>SUMPRODUCT(--(O3:O26="☆"),--((B3:B26=2) + (B3:B26=3) + (B3:B26=4)))</f>
        <v>2</v>
      </c>
      <c r="P31">
        <f>SUMPRODUCT(--(P3:P26="☆"),--((B3:B26=2) + (B3:B26=3) + (B3:B26=4)))</f>
        <v>2</v>
      </c>
      <c r="Q31">
        <f>SUMPRODUCT(--(Q3:Q26="☆"),--((B3:B26=2) + (B3:B26=3) + (B3:B26=4)))</f>
        <v>2</v>
      </c>
      <c r="R31">
        <f>SUMPRODUCT(--(R3:R26="☆"),--((B3:B26=2) + (B3:B26=3) + (B3:B26=4)))</f>
        <v>1</v>
      </c>
      <c r="S31">
        <f>SUMPRODUCT(--(S3:S26="☆"),--((B3:B26=2) + (B3:B26=3) + (B3:B26=4)))</f>
        <v>1</v>
      </c>
      <c r="T31">
        <f>SUMPRODUCT(--(T3:T26="☆"),--((B3:B26=2) + (B3:B26=3) + (B3:B26=4)))</f>
        <v>1</v>
      </c>
      <c r="U31">
        <f>SUMPRODUCT(--(U3:U26="☆"),--((B3:B26=2) + (B3:B26=3) + (B3:B26=4)))</f>
        <v>1</v>
      </c>
      <c r="V31">
        <f>SUMPRODUCT(--(V3:V26="☆"),--((B3:B26=2) + (B3:B26=3) + (B3:B26=4)))</f>
        <v>3</v>
      </c>
      <c r="W31">
        <f>SUMPRODUCT(--(W3:W26="☆"),--((B3:B26=2) + (B3:B26=3) + (B3:B26=4)))</f>
        <v>1</v>
      </c>
      <c r="X31">
        <f>SUMPRODUCT(--(X3:X26="☆"),--((B3:B26=2) + (B3:B26=3) + (B3:B26=4)))</f>
        <v>2</v>
      </c>
      <c r="Y31">
        <f>SUMPRODUCT(--(Y3:Y26="☆"),--((B3:B26=2) + (B3:B26=3) + (B3:B26=4)))</f>
        <v>1</v>
      </c>
      <c r="Z31">
        <f>SUMPRODUCT(--(Z3:Z26="☆"),--((B3:B26=2) + (B3:B26=3) + (B3:B26=4)))</f>
        <v>2</v>
      </c>
      <c r="AA31">
        <f>SUMPRODUCT(--(AA3:AA26="☆"),--((B3:B26=2) + (B3:B26=3) + (B3:B26=4)))</f>
        <v>1</v>
      </c>
      <c r="AB31">
        <f>SUMPRODUCT(--(AB3:AB26="☆"),--((B3:B26=2) + (B3:B26=3) + (B3:B26=4)))</f>
        <v>2</v>
      </c>
      <c r="AC31">
        <f>SUMPRODUCT(--(AC3:AC26="☆"),--((B3:B26=2) + (B3:B26=3) + (B3:B26=4)))</f>
        <v>2</v>
      </c>
      <c r="AD31">
        <f>SUMPRODUCT(--(AD3:AD26="☆"),--((B3:B26=2) + (B3:B26=3) + (B3:B26=4)))</f>
        <v>1</v>
      </c>
      <c r="AE31">
        <f>SUMPRODUCT(--(AE3:AE26="☆"),--((B3:B26=2) + (B3:B26=3) + (B3:B26=4)))</f>
        <v>2</v>
      </c>
      <c r="AF31">
        <f>SUMPRODUCT(--(AF3:AF26="☆"),--((B3:B26=2) + (B3:B26=3) + (B3:B26=4)))</f>
        <v>2</v>
      </c>
      <c r="AG31">
        <f>SUMPRODUCT(--(AG3:AG26="☆"),--((B3:B26=2) + (B3:B26=3) + (B3:B26=4)))</f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54351-312F-4CEF-94FF-9148355253DA}">
  <sheetPr codeName="Sheet1">
    <tabColor theme="7" tint="0.79998168889431442"/>
  </sheetPr>
  <dimension ref="A1:V59"/>
  <sheetViews>
    <sheetView tabSelected="1" zoomScale="85" zoomScaleNormal="85" workbookViewId="0">
      <selection activeCell="K7" sqref="K7"/>
    </sheetView>
  </sheetViews>
  <sheetFormatPr defaultRowHeight="16.5" x14ac:dyDescent="0.4"/>
  <cols>
    <col min="1" max="1" width="17.25" style="2" customWidth="1"/>
    <col min="2" max="2" width="14.375" style="2" customWidth="1"/>
    <col min="3" max="3" width="10.875" style="2" customWidth="1"/>
    <col min="4" max="20" width="9" style="2"/>
    <col min="21" max="21" width="12.875" style="2" customWidth="1"/>
    <col min="22" max="16384" width="9" style="2"/>
  </cols>
  <sheetData>
    <row r="1" spans="1:22" x14ac:dyDescent="0.4">
      <c r="A1" s="1" t="s">
        <v>0</v>
      </c>
      <c r="B1" s="3" t="s">
        <v>24</v>
      </c>
      <c r="O1" s="1" t="s">
        <v>17</v>
      </c>
      <c r="P1" s="3" t="s">
        <v>49</v>
      </c>
    </row>
    <row r="2" spans="1:22" x14ac:dyDescent="0.4">
      <c r="A2" s="1" t="s">
        <v>1</v>
      </c>
      <c r="B2" s="5">
        <v>45474</v>
      </c>
      <c r="C2" s="3"/>
      <c r="D2" s="1" t="s">
        <v>14</v>
      </c>
      <c r="E2" s="4">
        <v>45488</v>
      </c>
      <c r="F2" s="4"/>
      <c r="G2" s="4"/>
      <c r="H2" s="4"/>
      <c r="I2" s="4"/>
      <c r="J2" s="4"/>
      <c r="O2" s="1" t="s">
        <v>18</v>
      </c>
      <c r="P2" s="3" t="s">
        <v>21</v>
      </c>
    </row>
    <row r="3" spans="1:22" x14ac:dyDescent="0.4">
      <c r="A3" s="1" t="s">
        <v>2</v>
      </c>
      <c r="B3" s="3">
        <v>9</v>
      </c>
      <c r="C3" s="3">
        <v>7</v>
      </c>
      <c r="O3" s="1" t="s">
        <v>19</v>
      </c>
      <c r="P3" s="3" t="s">
        <v>15</v>
      </c>
    </row>
    <row r="4" spans="1:22" x14ac:dyDescent="0.4">
      <c r="A4" s="1" t="s">
        <v>6</v>
      </c>
      <c r="B4" s="3">
        <v>4</v>
      </c>
      <c r="C4" s="3">
        <v>4</v>
      </c>
      <c r="O4" s="1" t="s">
        <v>20</v>
      </c>
      <c r="P4" s="3" t="s">
        <v>13</v>
      </c>
    </row>
    <row r="5" spans="1:22" x14ac:dyDescent="0.4">
      <c r="A5" s="1" t="s">
        <v>3</v>
      </c>
      <c r="B5" s="3">
        <v>9</v>
      </c>
      <c r="C5" s="3">
        <v>7</v>
      </c>
    </row>
    <row r="6" spans="1:22" x14ac:dyDescent="0.4">
      <c r="A6" s="1" t="s">
        <v>5</v>
      </c>
      <c r="B6" s="3">
        <v>4</v>
      </c>
      <c r="C6" s="3">
        <v>4</v>
      </c>
    </row>
    <row r="7" spans="1:22" x14ac:dyDescent="0.4">
      <c r="A7" s="1" t="s">
        <v>11</v>
      </c>
      <c r="B7" s="6">
        <v>1</v>
      </c>
      <c r="C7" s="10"/>
    </row>
    <row r="8" spans="1:22" x14ac:dyDescent="0.4">
      <c r="A8" s="1" t="s">
        <v>12</v>
      </c>
      <c r="B8" s="6">
        <v>1</v>
      </c>
      <c r="C8" s="11"/>
    </row>
    <row r="9" spans="1:22" ht="66" x14ac:dyDescent="0.4">
      <c r="A9" s="7" t="s">
        <v>4</v>
      </c>
      <c r="B9" s="9" t="s">
        <v>22</v>
      </c>
      <c r="C9" s="7" t="s">
        <v>23</v>
      </c>
      <c r="D9" s="7" t="s">
        <v>16</v>
      </c>
      <c r="E9" s="7" t="s">
        <v>97</v>
      </c>
      <c r="F9" s="7" t="s">
        <v>98</v>
      </c>
      <c r="G9" s="7"/>
      <c r="H9" s="8" t="s">
        <v>7</v>
      </c>
      <c r="I9" s="7" t="s">
        <v>8</v>
      </c>
      <c r="J9" s="7" t="s">
        <v>9</v>
      </c>
      <c r="K9" s="7" t="s">
        <v>10</v>
      </c>
      <c r="L9" s="7" t="s">
        <v>10</v>
      </c>
      <c r="M9" s="7" t="s">
        <v>10</v>
      </c>
      <c r="N9" s="7" t="s">
        <v>10</v>
      </c>
      <c r="O9" s="7" t="s">
        <v>10</v>
      </c>
      <c r="P9" s="7" t="s">
        <v>10</v>
      </c>
      <c r="Q9" s="7" t="s">
        <v>10</v>
      </c>
      <c r="R9" s="7" t="s">
        <v>10</v>
      </c>
      <c r="S9" s="7" t="s">
        <v>10</v>
      </c>
      <c r="T9" s="7" t="s">
        <v>10</v>
      </c>
      <c r="U9" s="9" t="s">
        <v>25</v>
      </c>
      <c r="V9" s="7" t="s">
        <v>51</v>
      </c>
    </row>
    <row r="10" spans="1:22" x14ac:dyDescent="0.4">
      <c r="A10" s="3" t="s">
        <v>26</v>
      </c>
      <c r="B10" s="3">
        <v>4</v>
      </c>
      <c r="C10" s="3"/>
      <c r="D10" s="3"/>
      <c r="E10" s="3"/>
      <c r="F10" s="3">
        <v>5</v>
      </c>
      <c r="G10" s="3"/>
      <c r="H10" s="3">
        <v>170</v>
      </c>
      <c r="I10" s="3">
        <v>22</v>
      </c>
      <c r="J10" s="3">
        <v>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1" spans="1:22" x14ac:dyDescent="0.4">
      <c r="A11" s="3" t="s">
        <v>28</v>
      </c>
      <c r="B11" s="3">
        <v>3</v>
      </c>
      <c r="C11" s="3"/>
      <c r="D11" s="3"/>
      <c r="E11" s="3"/>
      <c r="F11" s="3">
        <v>3</v>
      </c>
      <c r="G11" s="3"/>
      <c r="H11" s="3">
        <v>170</v>
      </c>
      <c r="I11" s="3">
        <v>22</v>
      </c>
      <c r="J11" s="3">
        <v>6</v>
      </c>
      <c r="K11" s="4"/>
      <c r="L11" s="4"/>
      <c r="M11" s="4"/>
      <c r="N11" s="3"/>
      <c r="O11" s="3"/>
      <c r="P11" s="3"/>
      <c r="Q11" s="3"/>
      <c r="R11" s="3"/>
      <c r="S11" s="3"/>
      <c r="T11" s="3"/>
      <c r="U11" s="3">
        <v>1</v>
      </c>
      <c r="V11" s="3"/>
    </row>
    <row r="12" spans="1:22" x14ac:dyDescent="0.4">
      <c r="A12" s="3" t="s">
        <v>29</v>
      </c>
      <c r="B12" s="3">
        <v>3</v>
      </c>
      <c r="C12" s="3"/>
      <c r="D12" s="3"/>
      <c r="E12" s="3"/>
      <c r="F12" s="3">
        <v>3</v>
      </c>
      <c r="G12" s="3"/>
      <c r="H12" s="3">
        <v>170</v>
      </c>
      <c r="I12" s="3">
        <v>22</v>
      </c>
      <c r="J12" s="3">
        <v>6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>
        <v>2</v>
      </c>
      <c r="V12" s="3"/>
    </row>
    <row r="13" spans="1:22" x14ac:dyDescent="0.4">
      <c r="A13" s="3" t="s">
        <v>30</v>
      </c>
      <c r="B13" s="3">
        <v>2</v>
      </c>
      <c r="C13" s="3"/>
      <c r="D13" s="3"/>
      <c r="E13" s="3"/>
      <c r="F13" s="3">
        <v>3</v>
      </c>
      <c r="G13" s="3"/>
      <c r="H13" s="3">
        <v>170</v>
      </c>
      <c r="I13" s="3">
        <v>22</v>
      </c>
      <c r="J13" s="3">
        <v>6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>
        <v>2</v>
      </c>
    </row>
    <row r="14" spans="1:22" x14ac:dyDescent="0.4">
      <c r="A14" s="3" t="s">
        <v>31</v>
      </c>
      <c r="B14" s="3">
        <v>2</v>
      </c>
      <c r="C14" s="3"/>
      <c r="D14" s="3"/>
      <c r="E14" s="3"/>
      <c r="F14" s="3">
        <v>3</v>
      </c>
      <c r="G14" s="3"/>
      <c r="H14" s="3">
        <v>170</v>
      </c>
      <c r="I14" s="3">
        <v>22</v>
      </c>
      <c r="J14" s="3">
        <v>6</v>
      </c>
      <c r="K14" s="3"/>
      <c r="L14" s="4"/>
      <c r="M14" s="3"/>
      <c r="N14" s="3"/>
      <c r="O14" s="3"/>
      <c r="P14" s="3"/>
      <c r="Q14" s="3"/>
      <c r="R14" s="3"/>
      <c r="S14" s="3"/>
      <c r="T14" s="3"/>
      <c r="U14" s="3"/>
      <c r="V14" s="3">
        <v>3</v>
      </c>
    </row>
    <row r="15" spans="1:22" x14ac:dyDescent="0.4">
      <c r="A15" s="3" t="s">
        <v>32</v>
      </c>
      <c r="B15" s="3">
        <v>2</v>
      </c>
      <c r="C15" s="3"/>
      <c r="D15" s="3"/>
      <c r="E15" s="3">
        <v>1</v>
      </c>
      <c r="F15" s="3">
        <v>3</v>
      </c>
      <c r="G15" s="3"/>
      <c r="H15" s="3">
        <v>170</v>
      </c>
      <c r="I15" s="3">
        <v>22</v>
      </c>
      <c r="J15" s="3">
        <v>3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>
        <v>4</v>
      </c>
    </row>
    <row r="16" spans="1:22" x14ac:dyDescent="0.4">
      <c r="A16" s="3" t="s">
        <v>33</v>
      </c>
      <c r="B16" s="3">
        <v>2</v>
      </c>
      <c r="C16" s="3"/>
      <c r="D16" s="3"/>
      <c r="E16" s="3">
        <v>1</v>
      </c>
      <c r="F16" s="3">
        <v>3</v>
      </c>
      <c r="G16" s="3"/>
      <c r="H16" s="3">
        <v>170</v>
      </c>
      <c r="I16" s="3">
        <v>22</v>
      </c>
      <c r="J16" s="3">
        <v>4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>
        <v>5</v>
      </c>
    </row>
    <row r="17" spans="1:22" x14ac:dyDescent="0.4">
      <c r="A17" s="3" t="s">
        <v>34</v>
      </c>
      <c r="B17" s="3">
        <v>2</v>
      </c>
      <c r="C17" s="3">
        <v>1</v>
      </c>
      <c r="D17" s="3"/>
      <c r="E17" s="3"/>
      <c r="F17" s="3">
        <v>3</v>
      </c>
      <c r="G17" s="3"/>
      <c r="H17" s="3">
        <v>145</v>
      </c>
      <c r="I17" s="3">
        <v>0</v>
      </c>
      <c r="J17" s="3">
        <v>10</v>
      </c>
      <c r="K17" s="4">
        <v>45475</v>
      </c>
      <c r="L17" s="4">
        <v>45493</v>
      </c>
      <c r="M17" s="4"/>
      <c r="N17" s="3"/>
      <c r="O17" s="3"/>
      <c r="P17" s="3"/>
      <c r="Q17" s="3"/>
      <c r="R17" s="3"/>
      <c r="S17" s="3"/>
      <c r="T17" s="3"/>
      <c r="U17" s="3"/>
      <c r="V17" s="3"/>
    </row>
    <row r="18" spans="1:22" x14ac:dyDescent="0.4">
      <c r="A18" s="3" t="s">
        <v>35</v>
      </c>
      <c r="B18" s="3">
        <v>2</v>
      </c>
      <c r="C18" s="3">
        <v>1</v>
      </c>
      <c r="D18" s="3"/>
      <c r="E18" s="3"/>
      <c r="F18" s="3">
        <v>3</v>
      </c>
      <c r="G18" s="3"/>
      <c r="H18" s="3">
        <v>145</v>
      </c>
      <c r="I18" s="3">
        <v>0</v>
      </c>
      <c r="J18" s="3">
        <v>10</v>
      </c>
      <c r="K18" s="4">
        <v>45478</v>
      </c>
      <c r="L18" s="4"/>
      <c r="M18" s="3"/>
      <c r="N18" s="3"/>
      <c r="O18" s="3"/>
      <c r="P18" s="3"/>
      <c r="Q18" s="3"/>
      <c r="R18" s="3"/>
      <c r="S18" s="3"/>
      <c r="T18" s="3"/>
      <c r="U18" s="3"/>
      <c r="V18" s="3"/>
    </row>
    <row r="19" spans="1:22" x14ac:dyDescent="0.4">
      <c r="A19" s="3" t="s">
        <v>36</v>
      </c>
      <c r="B19" s="3">
        <v>1</v>
      </c>
      <c r="C19" s="3"/>
      <c r="D19" s="3">
        <v>1</v>
      </c>
      <c r="E19" s="3"/>
      <c r="F19" s="3">
        <v>3</v>
      </c>
      <c r="G19" s="3"/>
      <c r="H19" s="3">
        <v>170</v>
      </c>
      <c r="I19" s="3">
        <v>22</v>
      </c>
      <c r="J19" s="3">
        <v>6</v>
      </c>
      <c r="K19" s="4">
        <v>45478</v>
      </c>
      <c r="L19" s="3"/>
      <c r="M19" s="3"/>
      <c r="N19" s="3"/>
      <c r="O19" s="3"/>
      <c r="P19" s="3"/>
      <c r="Q19" s="3"/>
      <c r="R19" s="3"/>
      <c r="S19" s="3"/>
      <c r="T19" s="3"/>
      <c r="U19" s="3">
        <v>2</v>
      </c>
      <c r="V19" s="3"/>
    </row>
    <row r="20" spans="1:22" x14ac:dyDescent="0.4">
      <c r="A20" s="3" t="s">
        <v>37</v>
      </c>
      <c r="B20" s="3">
        <v>2</v>
      </c>
      <c r="C20" s="3"/>
      <c r="D20" s="3">
        <v>1</v>
      </c>
      <c r="E20" s="3"/>
      <c r="F20" s="3">
        <v>3</v>
      </c>
      <c r="G20" s="3"/>
      <c r="H20" s="3">
        <v>170</v>
      </c>
      <c r="I20" s="3">
        <v>22</v>
      </c>
      <c r="J20" s="3">
        <v>6</v>
      </c>
      <c r="K20" s="4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4">
      <c r="A21" s="3" t="s">
        <v>27</v>
      </c>
      <c r="B21" s="3">
        <v>1</v>
      </c>
      <c r="C21" s="3"/>
      <c r="D21" s="3">
        <v>2</v>
      </c>
      <c r="E21" s="3"/>
      <c r="F21" s="3">
        <v>3</v>
      </c>
      <c r="G21" s="3"/>
      <c r="H21" s="3">
        <v>170</v>
      </c>
      <c r="I21" s="3">
        <v>22</v>
      </c>
      <c r="J21" s="3">
        <v>6</v>
      </c>
      <c r="K21" s="4"/>
      <c r="L21" s="3"/>
      <c r="M21" s="3"/>
      <c r="N21" s="3"/>
      <c r="O21" s="3"/>
      <c r="P21" s="3"/>
      <c r="Q21" s="3"/>
      <c r="R21" s="3"/>
      <c r="S21" s="3"/>
      <c r="T21" s="3"/>
      <c r="U21" s="3">
        <v>1</v>
      </c>
      <c r="V21" s="3"/>
    </row>
    <row r="22" spans="1:22" x14ac:dyDescent="0.4">
      <c r="A22" s="3" t="s">
        <v>38</v>
      </c>
      <c r="B22" s="3">
        <v>1</v>
      </c>
      <c r="C22" s="3"/>
      <c r="D22" s="3">
        <v>2</v>
      </c>
      <c r="E22" s="3"/>
      <c r="F22" s="3">
        <v>3</v>
      </c>
      <c r="G22" s="3"/>
      <c r="H22" s="3">
        <v>170</v>
      </c>
      <c r="I22" s="3">
        <v>22</v>
      </c>
      <c r="J22" s="3">
        <v>6</v>
      </c>
      <c r="K22" s="4"/>
      <c r="L22" s="3"/>
      <c r="M22" s="3"/>
      <c r="N22" s="3"/>
      <c r="O22" s="3"/>
      <c r="P22" s="3"/>
      <c r="Q22" s="3"/>
      <c r="R22" s="3"/>
      <c r="S22" s="3"/>
      <c r="T22" s="3"/>
      <c r="U22" s="3">
        <v>1</v>
      </c>
      <c r="V22" s="3"/>
    </row>
    <row r="23" spans="1:22" x14ac:dyDescent="0.4">
      <c r="A23" s="3" t="s">
        <v>39</v>
      </c>
      <c r="B23" s="3">
        <v>1</v>
      </c>
      <c r="C23" s="3"/>
      <c r="D23" s="3"/>
      <c r="E23" s="3"/>
      <c r="F23" s="3">
        <v>3</v>
      </c>
      <c r="G23" s="3"/>
      <c r="H23" s="3">
        <v>170</v>
      </c>
      <c r="I23" s="3">
        <v>22</v>
      </c>
      <c r="J23" s="3">
        <v>6</v>
      </c>
      <c r="K23" s="3"/>
      <c r="L23" s="3"/>
      <c r="M23" s="3"/>
      <c r="N23" s="3"/>
      <c r="O23" s="3"/>
      <c r="P23" s="3"/>
      <c r="Q23" s="3"/>
      <c r="R23" s="3"/>
      <c r="S23" s="3"/>
      <c r="T23" s="3"/>
      <c r="U23" s="3">
        <v>2</v>
      </c>
      <c r="V23" s="3"/>
    </row>
    <row r="24" spans="1:22" x14ac:dyDescent="0.4">
      <c r="A24" s="3" t="s">
        <v>40</v>
      </c>
      <c r="B24" s="3">
        <v>1</v>
      </c>
      <c r="C24" s="3"/>
      <c r="D24" s="3"/>
      <c r="E24" s="3"/>
      <c r="F24" s="3">
        <v>3</v>
      </c>
      <c r="G24" s="3"/>
      <c r="H24" s="3">
        <v>170</v>
      </c>
      <c r="I24" s="3">
        <v>22</v>
      </c>
      <c r="J24" s="3">
        <v>6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4">
      <c r="A25" s="3" t="s">
        <v>41</v>
      </c>
      <c r="B25" s="3">
        <v>1</v>
      </c>
      <c r="C25" s="3"/>
      <c r="D25" s="3"/>
      <c r="E25" s="3"/>
      <c r="F25" s="3">
        <v>3</v>
      </c>
      <c r="G25" s="3"/>
      <c r="H25" s="3">
        <v>170</v>
      </c>
      <c r="I25" s="3">
        <v>22</v>
      </c>
      <c r="J25" s="3">
        <v>6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4">
      <c r="A26" s="3" t="s">
        <v>42</v>
      </c>
      <c r="B26" s="3">
        <v>1</v>
      </c>
      <c r="C26" s="3"/>
      <c r="D26" s="3"/>
      <c r="E26" s="3"/>
      <c r="F26" s="3">
        <v>3</v>
      </c>
      <c r="G26" s="3"/>
      <c r="H26" s="3">
        <v>170</v>
      </c>
      <c r="I26" s="3">
        <v>22</v>
      </c>
      <c r="J26" s="3">
        <v>6</v>
      </c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4">
      <c r="A27" s="3" t="s">
        <v>43</v>
      </c>
      <c r="B27" s="3">
        <v>1</v>
      </c>
      <c r="C27" s="3"/>
      <c r="D27" s="3"/>
      <c r="E27" s="3"/>
      <c r="F27" s="3">
        <v>3</v>
      </c>
      <c r="G27" s="3"/>
      <c r="H27" s="3">
        <v>170</v>
      </c>
      <c r="I27" s="3">
        <v>22</v>
      </c>
      <c r="J27" s="3">
        <v>6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4">
      <c r="A28" s="3" t="s">
        <v>44</v>
      </c>
      <c r="B28" s="3">
        <v>1</v>
      </c>
      <c r="C28" s="3"/>
      <c r="D28" s="3"/>
      <c r="E28" s="3"/>
      <c r="F28" s="3">
        <v>3</v>
      </c>
      <c r="G28" s="3"/>
      <c r="H28" s="3">
        <v>170</v>
      </c>
      <c r="I28" s="3">
        <v>22</v>
      </c>
      <c r="J28" s="3">
        <v>6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1:22" x14ac:dyDescent="0.4">
      <c r="A29" s="3" t="s">
        <v>45</v>
      </c>
      <c r="B29" s="3"/>
      <c r="C29" s="3"/>
      <c r="D29" s="3"/>
      <c r="E29" s="3"/>
      <c r="F29" s="3">
        <v>3</v>
      </c>
      <c r="G29" s="3"/>
      <c r="H29" s="3">
        <v>170</v>
      </c>
      <c r="I29" s="3">
        <v>22</v>
      </c>
      <c r="J29" s="3">
        <v>6</v>
      </c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1:22" x14ac:dyDescent="0.4">
      <c r="A30" s="3" t="s">
        <v>46</v>
      </c>
      <c r="B30" s="3"/>
      <c r="C30" s="3"/>
      <c r="D30" s="3"/>
      <c r="E30" s="3"/>
      <c r="F30" s="3">
        <v>3</v>
      </c>
      <c r="G30" s="3"/>
      <c r="H30" s="3">
        <v>170</v>
      </c>
      <c r="I30" s="3">
        <v>22</v>
      </c>
      <c r="J30" s="3">
        <v>6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spans="1:22" x14ac:dyDescent="0.4">
      <c r="A31" s="3" t="s">
        <v>47</v>
      </c>
      <c r="B31" s="3"/>
      <c r="C31" s="3"/>
      <c r="D31" s="3"/>
      <c r="E31" s="3"/>
      <c r="F31" s="3">
        <v>3</v>
      </c>
      <c r="G31" s="3"/>
      <c r="H31" s="3">
        <v>170</v>
      </c>
      <c r="I31" s="3">
        <v>22</v>
      </c>
      <c r="J31" s="3">
        <v>6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2" spans="1:22" x14ac:dyDescent="0.4">
      <c r="A32" s="3" t="s">
        <v>48</v>
      </c>
      <c r="B32" s="3"/>
      <c r="C32" s="3"/>
      <c r="D32" s="3"/>
      <c r="E32" s="3"/>
      <c r="F32" s="3">
        <v>3</v>
      </c>
      <c r="G32" s="3"/>
      <c r="H32" s="3">
        <v>170</v>
      </c>
      <c r="I32" s="3">
        <v>22</v>
      </c>
      <c r="J32" s="3">
        <v>6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22" x14ac:dyDescent="0.4">
      <c r="A33" s="3" t="s">
        <v>50</v>
      </c>
      <c r="B33" s="3"/>
      <c r="C33" s="3"/>
      <c r="D33" s="3"/>
      <c r="E33" s="3"/>
      <c r="F33" s="3">
        <v>3</v>
      </c>
      <c r="G33" s="3"/>
      <c r="H33" s="3">
        <v>170</v>
      </c>
      <c r="I33" s="3">
        <v>22</v>
      </c>
      <c r="J33" s="3">
        <v>0</v>
      </c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:22" x14ac:dyDescent="0.4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:22" x14ac:dyDescent="0.4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:22" x14ac:dyDescent="0.4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:22" x14ac:dyDescent="0.4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:22" x14ac:dyDescent="0.4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:22" x14ac:dyDescent="0.4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:22" x14ac:dyDescent="0.4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:22" x14ac:dyDescent="0.4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22" x14ac:dyDescent="0.4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22" x14ac:dyDescent="0.4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2" x14ac:dyDescent="0.4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2" x14ac:dyDescent="0.4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2" x14ac:dyDescent="0.4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2" x14ac:dyDescent="0.4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1:22" x14ac:dyDescent="0.4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x14ac:dyDescent="0.4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x14ac:dyDescent="0.4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x14ac:dyDescent="0.4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x14ac:dyDescent="0.4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x14ac:dyDescent="0.4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x14ac:dyDescent="0.4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x14ac:dyDescent="0.4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x14ac:dyDescent="0.4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2" x14ac:dyDescent="0.4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</row>
    <row r="58" spans="1:22" x14ac:dyDescent="0.4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</row>
    <row r="59" spans="1:22" x14ac:dyDescent="0.4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Shift_20241022_073444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kentaro nakamura</dc:creator>
  <cp:lastModifiedBy>kentaro nakamura</cp:lastModifiedBy>
  <dcterms:created xsi:type="dcterms:W3CDTF">2024-07-03T23:16:10Z</dcterms:created>
  <dcterms:modified xsi:type="dcterms:W3CDTF">2024-10-21T23:06:32Z</dcterms:modified>
</cp:coreProperties>
</file>